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GSU Nutrients 2025 Summary " sheetId="1" r:id="rId4"/>
    <sheet state="visible" name="Tray Protocol" sheetId="2" r:id="rId5"/>
  </sheets>
  <definedNames>
    <definedName hidden="1" localSheetId="0" name="_xlnm._FilterDatabase">'BGSU Nutrients 2025 Summary '!$E$1:$E$1000</definedName>
  </definedNames>
  <calcPr/>
  <extLst>
    <ext uri="GoogleSheetsCustomDataVersion2">
      <go:sheetsCustomData xmlns:go="http://customooxmlschemas.google.com/" r:id="rId6" roundtripDataChecksum="gWSW0/7ERySQY3QT+Vj0VOCjJ1x5Bg7eFpkxKP9kLd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1">
      <text>
        <t xml:space="preserve">======
ID#AAABzOzWSUQ
Oriyo, Katherine    (2026-01-30 21:35:52)
Analyzed 3x for TP and had 17% difference as lowest</t>
      </text>
    </comment>
    <comment authorId="0" ref="N172">
      <text>
        <t xml:space="preserve">======
ID#AAABzOzWSUM
Oriyo, Katherine    (2026-01-30 21:35:52)
Redid TN with similar reading</t>
      </text>
    </comment>
    <comment authorId="0" ref="E21">
      <text>
        <t xml:space="preserve">======
ID#AAABzOzWSUI
Oriyo, Katherine    (2026-01-30 21:35:52)
Sample is missing</t>
      </text>
    </comment>
  </commentList>
  <extLst>
    <ext uri="GoogleSheetsCustomDataVersion2">
      <go:sheetsCustomData xmlns:go="http://customooxmlschemas.google.com/" r:id="rId1" roundtripDataSignature="AMtx7mjtfm8mbUPQPVtB3eOuAAZBP5PdWw=="/>
    </ext>
  </extLst>
</comments>
</file>

<file path=xl/sharedStrings.xml><?xml version="1.0" encoding="utf-8"?>
<sst xmlns="http://schemas.openxmlformats.org/spreadsheetml/2006/main" count="1766" uniqueCount="303">
  <si>
    <t>Shipment batch</t>
  </si>
  <si>
    <t>ID#</t>
  </si>
  <si>
    <t>Date</t>
  </si>
  <si>
    <t>Site Name</t>
  </si>
  <si>
    <t>Nitrate+NO2 (umol/L)</t>
  </si>
  <si>
    <t>Ammonium (umol/L)</t>
  </si>
  <si>
    <t>DRP (umol/L)</t>
  </si>
  <si>
    <t>Silicate (umol/L)</t>
  </si>
  <si>
    <t>TP (umol/L)</t>
  </si>
  <si>
    <t>TKN (umol/L)</t>
  </si>
  <si>
    <t>TN (umol/L)</t>
  </si>
  <si>
    <t>TN:TP (molar)</t>
  </si>
  <si>
    <t>Notes</t>
  </si>
  <si>
    <t>Diss Nuts Run</t>
  </si>
  <si>
    <t>TNTP Run</t>
  </si>
  <si>
    <t>DRP/TP</t>
  </si>
  <si>
    <t>DIN/TN</t>
  </si>
  <si>
    <t>One. Sept 2025</t>
  </si>
  <si>
    <t xml:space="preserve">Jun03_BG_Muddy Creek </t>
  </si>
  <si>
    <t>Muddy Creek</t>
  </si>
  <si>
    <t>Dec 2 BGSU Run 1R1R1.RUN</t>
  </si>
  <si>
    <t>TNTP BGSU Run 1 June 3 June 17.RUN</t>
  </si>
  <si>
    <t xml:space="preserve">Jun03_BG_ODNR 4 </t>
  </si>
  <si>
    <t>ODNR 4</t>
  </si>
  <si>
    <t xml:space="preserve">Jun03_BG_ODNR 6 </t>
  </si>
  <si>
    <t>ODNR 6</t>
  </si>
  <si>
    <t xml:space="preserve">Jun03_BG_Bridge </t>
  </si>
  <si>
    <t xml:space="preserve">Bridge </t>
  </si>
  <si>
    <t xml:space="preserve">Jun03_BG_ODNR 2 </t>
  </si>
  <si>
    <t>ODNR 2</t>
  </si>
  <si>
    <t xml:space="preserve">Jun03_BG_Buoy 2 </t>
  </si>
  <si>
    <t xml:space="preserve">Buoy 2 </t>
  </si>
  <si>
    <t xml:space="preserve">Jun03_BG_ODNR 1 </t>
  </si>
  <si>
    <t xml:space="preserve">ODNR 1 </t>
  </si>
  <si>
    <t xml:space="preserve">Jun03_BG_EC 1163 </t>
  </si>
  <si>
    <t xml:space="preserve">EC 1163 </t>
  </si>
  <si>
    <t xml:space="preserve">Jun03_BG_Causeway </t>
  </si>
  <si>
    <t xml:space="preserve">Causeway </t>
  </si>
  <si>
    <t>Jun03_BG_Bells</t>
  </si>
  <si>
    <t>Bells</t>
  </si>
  <si>
    <t xml:space="preserve">Jun10_BG_Muddy Creek </t>
  </si>
  <si>
    <t xml:space="preserve">Jun10_BG_ODNR 4 </t>
  </si>
  <si>
    <t xml:space="preserve">Jun10_BG_ODNR 6 </t>
  </si>
  <si>
    <t xml:space="preserve">Jun10_BG_Bridge </t>
  </si>
  <si>
    <t xml:space="preserve">Jun10_BG_ODNR 2 </t>
  </si>
  <si>
    <t xml:space="preserve">Jun10_BG_Buoy 2 </t>
  </si>
  <si>
    <t xml:space="preserve">Jun10_BG_ODNR 1 </t>
  </si>
  <si>
    <t xml:space="preserve">Jun10_BG_EC 1163 </t>
  </si>
  <si>
    <t xml:space="preserve">Jun10_BG_Causeway </t>
  </si>
  <si>
    <t>Jun10_BG_Bells</t>
  </si>
  <si>
    <t>Sample missing</t>
  </si>
  <si>
    <t xml:space="preserve">Jun17_BG_Muddy Creek </t>
  </si>
  <si>
    <t xml:space="preserve">Jun17_BG_ODNR 4 </t>
  </si>
  <si>
    <t xml:space="preserve">Jun17_BG_ODNR 6 </t>
  </si>
  <si>
    <t xml:space="preserve">Jun17_BG_Bridge </t>
  </si>
  <si>
    <t xml:space="preserve">Jun17_BG_ODNR 2 </t>
  </si>
  <si>
    <t xml:space="preserve">Jun17_BG_Buoy 2 </t>
  </si>
  <si>
    <t xml:space="preserve">Jun17_BG_ODNR 1 </t>
  </si>
  <si>
    <t xml:space="preserve">Jun17_BG_EC 1163 </t>
  </si>
  <si>
    <t xml:space="preserve">Jun17_BG_Causeway </t>
  </si>
  <si>
    <t>Jun17_BG_Bells</t>
  </si>
  <si>
    <t xml:space="preserve">Jun24_BG_Muddy Creek </t>
  </si>
  <si>
    <t>TNTP Dec11 2025 BGSU Run 2 and MC redo.RUN</t>
  </si>
  <si>
    <t xml:space="preserve">Jun24_BG_ODNR 4 </t>
  </si>
  <si>
    <t xml:space="preserve">Jun24_BG_ODNR 6 </t>
  </si>
  <si>
    <t xml:space="preserve">Jun24_BG_Bridge </t>
  </si>
  <si>
    <t xml:space="preserve">Jun24_BG_ODNR 2 </t>
  </si>
  <si>
    <t xml:space="preserve">Jun24_BG_Buoy 2 </t>
  </si>
  <si>
    <t xml:space="preserve">Jun24_BG_ODNR 1 </t>
  </si>
  <si>
    <t xml:space="preserve">Jun24_BG_EC 1163 </t>
  </si>
  <si>
    <t xml:space="preserve">Jun24_BG_Causeway </t>
  </si>
  <si>
    <t>Jun24_BG_Bells</t>
  </si>
  <si>
    <t>Jul01_BG_Muddy Creek</t>
  </si>
  <si>
    <t>Jul01_BG_ODNR 4</t>
  </si>
  <si>
    <t>Jul01_BG_ODNR 6</t>
  </si>
  <si>
    <t xml:space="preserve">Jul01_BG_Bridge </t>
  </si>
  <si>
    <t>Jul01_BG_ODNR 2</t>
  </si>
  <si>
    <t xml:space="preserve">Jul01_BG_Buoy 2 </t>
  </si>
  <si>
    <t xml:space="preserve">Jul01_BG_ODNR 1 </t>
  </si>
  <si>
    <t xml:space="preserve">Jul01_BG_EC 1163 </t>
  </si>
  <si>
    <t xml:space="preserve">Jul01_BG_Causeway </t>
  </si>
  <si>
    <t>Jul01_BG_Bells</t>
  </si>
  <si>
    <t>Jul08_BG_Muddy Creek</t>
  </si>
  <si>
    <t>Jul08_BG_ODNR 4</t>
  </si>
  <si>
    <t>Jul08_BG_ODNR 6</t>
  </si>
  <si>
    <t xml:space="preserve">Jul08_BG_Bridge </t>
  </si>
  <si>
    <t>Jul08_BG_ODNR 2</t>
  </si>
  <si>
    <t xml:space="preserve">Jul08_BG_Buoy 2 </t>
  </si>
  <si>
    <t xml:space="preserve">Jul08_BG_ODNR 1 </t>
  </si>
  <si>
    <t xml:space="preserve">Jul08_BG_EC 1163 </t>
  </si>
  <si>
    <t xml:space="preserve">Jul08_BG_Causeway </t>
  </si>
  <si>
    <t>Jul08_BG_Bells</t>
  </si>
  <si>
    <t>Jul15_BG_Muddy Creek</t>
  </si>
  <si>
    <t>Jul15_BG_ODNR 4</t>
  </si>
  <si>
    <t>Jul15_BG_ODNR 6</t>
  </si>
  <si>
    <t xml:space="preserve">Jul15_BG_Bridge </t>
  </si>
  <si>
    <t>Jul15_BG_ODNR 2</t>
  </si>
  <si>
    <t xml:space="preserve">Jul15_BG_Buoy 2 </t>
  </si>
  <si>
    <t xml:space="preserve">Jul15_BG_ODNR 1 </t>
  </si>
  <si>
    <t xml:space="preserve">Jul15_BG_EC 1163 </t>
  </si>
  <si>
    <t xml:space="preserve">Jul15_BG_Causeway </t>
  </si>
  <si>
    <t>Jul15_BG_Bells</t>
  </si>
  <si>
    <t>Jul22_BG_Muddy Creek</t>
  </si>
  <si>
    <t>TNTP Dec 12 2025 BGSU Run 3.RUN</t>
  </si>
  <si>
    <t>Jul22_BG_ODNR 4</t>
  </si>
  <si>
    <t>Jul22_BG_ODNR 6</t>
  </si>
  <si>
    <t>Jul22_BG_Bridge</t>
  </si>
  <si>
    <t>Jul22_BG_ODNR 2</t>
  </si>
  <si>
    <t>Jul22_BG_Buoy 2</t>
  </si>
  <si>
    <t>Jul22_BG_ODNR 1</t>
  </si>
  <si>
    <t>Jul22_BG_EC 1163</t>
  </si>
  <si>
    <t>Jul22_BG_Causeway</t>
  </si>
  <si>
    <t>Jul22_BG_Bells</t>
  </si>
  <si>
    <t>May23_BG_Swim Beach</t>
  </si>
  <si>
    <t>Swim Beach</t>
  </si>
  <si>
    <t>Dec 3 BGSU Run 2R1.RUN</t>
  </si>
  <si>
    <t>May23_BG_Inlet</t>
  </si>
  <si>
    <t>Inlet</t>
  </si>
  <si>
    <t>May23_BG_Outer Cove</t>
  </si>
  <si>
    <t>Outer Cove</t>
  </si>
  <si>
    <t>May23_BG_Center</t>
  </si>
  <si>
    <t>Center</t>
  </si>
  <si>
    <t>May30_BG_Swim Beach</t>
  </si>
  <si>
    <t>May30_BG_Inlet</t>
  </si>
  <si>
    <t>May30_BG_Outer Cove</t>
  </si>
  <si>
    <t>May30_BG_Center</t>
  </si>
  <si>
    <t>Jun06_BG_Swim Beach</t>
  </si>
  <si>
    <t>Jun06_BG_Inlet</t>
  </si>
  <si>
    <t>Jun06_BG_Outer Cove</t>
  </si>
  <si>
    <t>Jun06_BG_Center</t>
  </si>
  <si>
    <t>Jun20_BG_Swim Beach</t>
  </si>
  <si>
    <t>Jun20_BG_Inlet</t>
  </si>
  <si>
    <t>Jun20_BG_Outer Cove</t>
  </si>
  <si>
    <t>Jun20_BG_Center</t>
  </si>
  <si>
    <t>Jul03_BG_Swim Beach</t>
  </si>
  <si>
    <t>Jul03_BG_Inlet</t>
  </si>
  <si>
    <t>Jul03_BG_Outer Cove</t>
  </si>
  <si>
    <t>Jul03_BG_Center</t>
  </si>
  <si>
    <t>Jul18_BG_Swim Beach</t>
  </si>
  <si>
    <t>Jul18_BG_Inlet</t>
  </si>
  <si>
    <t>Jul18_BG_Outer Cove</t>
  </si>
  <si>
    <t>Jul18_BG_Center</t>
  </si>
  <si>
    <t>Jul18_BG_Canoe Area</t>
  </si>
  <si>
    <t>Canoe Area</t>
  </si>
  <si>
    <t>Two. Nov 2025</t>
  </si>
  <si>
    <t>Jul29_BG_Muddy Creek</t>
  </si>
  <si>
    <t>Jul29_BG_ODNR 4</t>
  </si>
  <si>
    <t>Jul29_BG_ODNR 6</t>
  </si>
  <si>
    <t>Jul29_BG_Bridge</t>
  </si>
  <si>
    <t>Bridge</t>
  </si>
  <si>
    <t>Jul29_BG_ODNR 2</t>
  </si>
  <si>
    <t>Jul29_BG_Buoy 2</t>
  </si>
  <si>
    <t>Buoy 2</t>
  </si>
  <si>
    <t>Jul29_BG_ODNR 1</t>
  </si>
  <si>
    <t>ODNR 1</t>
  </si>
  <si>
    <t>Jul29_BG_EC 1163</t>
  </si>
  <si>
    <t>EC 1163</t>
  </si>
  <si>
    <t>Jul29_BG_Causeway</t>
  </si>
  <si>
    <t>Causeway</t>
  </si>
  <si>
    <t>Jul29_BG_Bells</t>
  </si>
  <si>
    <t>Aug05_BG_Muddy Creek</t>
  </si>
  <si>
    <t>Aug05_BG_ODNR 4</t>
  </si>
  <si>
    <t>Aug05_BG_ODNR 6</t>
  </si>
  <si>
    <t>Aug05_BG_Bridge</t>
  </si>
  <si>
    <t>Aug05_BG_ODNR 2</t>
  </si>
  <si>
    <t>Aug05_BG_EC 1163</t>
  </si>
  <si>
    <t>Aug05_BG_Causeway</t>
  </si>
  <si>
    <t>Aug05_BG_Bells</t>
  </si>
  <si>
    <t>Aug12_BG_Muddy Creek</t>
  </si>
  <si>
    <t>TNTP Dec 16 2025 BGSU Run 4 and RedosR1.RUN</t>
  </si>
  <si>
    <t>Aug12_BG_ODNR 4</t>
  </si>
  <si>
    <t>Aug12_BG_ODNR 6</t>
  </si>
  <si>
    <t>Aug12_BG_Bridge</t>
  </si>
  <si>
    <t>Aug12_BG_ODNR 2</t>
  </si>
  <si>
    <t>Aug12_BG_Buoy 2</t>
  </si>
  <si>
    <t>Aug12_BG_ODNR 1</t>
  </si>
  <si>
    <t>Aug12_BG_EC 1163</t>
  </si>
  <si>
    <t>Aug12_BG_Causeway</t>
  </si>
  <si>
    <t>Aug12_BG_Bells</t>
  </si>
  <si>
    <t>Aug20_BG_Muddy Creek</t>
  </si>
  <si>
    <t>Aug20_BG_ODNR 4</t>
  </si>
  <si>
    <t>Aug20_BG_ODNR 6</t>
  </si>
  <si>
    <t>Aug20_BG_Bridge</t>
  </si>
  <si>
    <t>Aug20_BG_ODNR 2</t>
  </si>
  <si>
    <t>Aug20_BG_Buoy 2</t>
  </si>
  <si>
    <t>Aug20_BG_ODNR 1</t>
  </si>
  <si>
    <t>Aug20_BG_EC 1163</t>
  </si>
  <si>
    <t>Aug20_BG_Causeway</t>
  </si>
  <si>
    <t>Aug26_BG_Muddy Creek</t>
  </si>
  <si>
    <t>Aug26_BG_ODNR 4</t>
  </si>
  <si>
    <t>Aug26_BG_ODNR 6</t>
  </si>
  <si>
    <t>Aug26_BG_Bridge</t>
  </si>
  <si>
    <t>Aug26_BG_ODNR 2</t>
  </si>
  <si>
    <t>Aug26_BG_Buoy 2</t>
  </si>
  <si>
    <t>Aug26_BG_ODNR 1</t>
  </si>
  <si>
    <t>Aug26_BG_EC 1163</t>
  </si>
  <si>
    <t>Aug26_BG_Causeway</t>
  </si>
  <si>
    <t>Sept02_BG_Muddy Creek</t>
  </si>
  <si>
    <t>Sept02_BG_ODNR 4</t>
  </si>
  <si>
    <t>Sept02_BG_ODNR 6</t>
  </si>
  <si>
    <t>Sept02_BG_Bridge</t>
  </si>
  <si>
    <t>Sept02_BG_ODNR 2</t>
  </si>
  <si>
    <t>Sept02_BG_Buoy 2</t>
  </si>
  <si>
    <t>Sept02_BG_ODNR 1</t>
  </si>
  <si>
    <t>Sept02_BG_EC 1163</t>
  </si>
  <si>
    <t>Sept02_BG_Causeway</t>
  </si>
  <si>
    <t>Sept02_BG_Bells</t>
  </si>
  <si>
    <t>Sept09_BG_Muddy Creek</t>
  </si>
  <si>
    <t>Sept09_BG_ODNR 4</t>
  </si>
  <si>
    <t>Sept09_BG_ODNR 6</t>
  </si>
  <si>
    <t>Sept09_BG_Bridge</t>
  </si>
  <si>
    <t>Sept09_BG_ODNR 2</t>
  </si>
  <si>
    <t>Sept09_BG_Buoy 2</t>
  </si>
  <si>
    <t>Sept09_BG_ODNR 1</t>
  </si>
  <si>
    <t>Sept09_BG_EC 1163</t>
  </si>
  <si>
    <t>Sept09_BG_Causeway</t>
  </si>
  <si>
    <t>Sept09_BG_Bells</t>
  </si>
  <si>
    <t>Sept16_BG_Muddy Creek</t>
  </si>
  <si>
    <t>TNTP Dec 18 2025 BGSU Run 5 and Redos.RUN</t>
  </si>
  <si>
    <t>Sept16_BG_ODNR 4</t>
  </si>
  <si>
    <t>Sept16_BG_ODNR 6</t>
  </si>
  <si>
    <t>Sept16_BG_Bridge</t>
  </si>
  <si>
    <t>Sept16_BG_ODNR 2</t>
  </si>
  <si>
    <t>Sept16_BG_Buoy 2</t>
  </si>
  <si>
    <t>Sept16_BG_ODNR 1</t>
  </si>
  <si>
    <t>Sept16_BG_EC 1163</t>
  </si>
  <si>
    <t>Sept16_BG_Causeway</t>
  </si>
  <si>
    <t>Jul31_BG_Swim Beach</t>
  </si>
  <si>
    <t>Dec 3 BGSU Run3 and Redos.RUN</t>
  </si>
  <si>
    <t>Jul31_BG_Inlet</t>
  </si>
  <si>
    <t>Jul31_BG_Outer Cove</t>
  </si>
  <si>
    <t>Jul31_BG_Center</t>
  </si>
  <si>
    <t>Aug14_BG_Swim Beach</t>
  </si>
  <si>
    <t>Aug14_BG_Inlet</t>
  </si>
  <si>
    <t>Aug14_BG_Outer Cove</t>
  </si>
  <si>
    <t>Aug14_BG_Center</t>
  </si>
  <si>
    <t>Aug14_BG_Swim Beach Rope</t>
  </si>
  <si>
    <t>Swim Beach Rope</t>
  </si>
  <si>
    <t>Aug14_BG_Dock</t>
  </si>
  <si>
    <t>Dock</t>
  </si>
  <si>
    <t>Aug29_BG_Swim Beach</t>
  </si>
  <si>
    <t>Aug29_BG_Inlet</t>
  </si>
  <si>
    <t>Aug29_BG_Outer Cove</t>
  </si>
  <si>
    <t>Aug29_BG_Center</t>
  </si>
  <si>
    <t>Aug29_BG_Dock</t>
  </si>
  <si>
    <t>Sept12_BG_Swim Beach</t>
  </si>
  <si>
    <t>Sept12_BG_Inlet</t>
  </si>
  <si>
    <t>Sept12_BG_Outer Cove</t>
  </si>
  <si>
    <t>Sept12_BG_Center</t>
  </si>
  <si>
    <t>Sept26_BG_Swim Beach</t>
  </si>
  <si>
    <t>Sept26_BG_Inlet</t>
  </si>
  <si>
    <t>Sept26_BG_Outer Cove</t>
  </si>
  <si>
    <t>Sept26_BG_Center</t>
  </si>
  <si>
    <t>Sept26_BG_Dock</t>
  </si>
  <si>
    <t>Oct13_BG_Swim Beach</t>
  </si>
  <si>
    <t>Oct13_BG_Inlet</t>
  </si>
  <si>
    <t>Oct13_BG_Outer Cove</t>
  </si>
  <si>
    <t>Oct13_BG_Center</t>
  </si>
  <si>
    <t>Oct24_BG_Swim Beach</t>
  </si>
  <si>
    <t>Oct24_BG_Inlet</t>
  </si>
  <si>
    <t>Oct24_BG_Outer Cove</t>
  </si>
  <si>
    <t>Oct24_BG_Center</t>
  </si>
  <si>
    <t>Dilution 10%</t>
  </si>
  <si>
    <t>Jun03_BG_Muddy Creek</t>
  </si>
  <si>
    <t>Jun03_BG_Muddy Creek D</t>
  </si>
  <si>
    <t>Jun03_BG_ODNR 4</t>
  </si>
  <si>
    <t>Jun03_BG_ODNR 4 D</t>
  </si>
  <si>
    <t>Jun03_BG_ODNR 6</t>
  </si>
  <si>
    <t>Jun03_BG_ODNR 6 D</t>
  </si>
  <si>
    <t>Jun03_BG_ODNR 2</t>
  </si>
  <si>
    <t>Jun03_BG_ODNR 2 D</t>
  </si>
  <si>
    <t>Jun03_BG_ODNR 1 D</t>
  </si>
  <si>
    <t>Jun03_BG_EC 1163 D</t>
  </si>
  <si>
    <t>Jun10_BG_Muddy Creek</t>
  </si>
  <si>
    <t>Jun10_BG_Muddy Creek D</t>
  </si>
  <si>
    <t>Jun10_BG_ODNR 4</t>
  </si>
  <si>
    <t>Jun10_BG_ODNR 4 D</t>
  </si>
  <si>
    <t>Jun10_BG_ODNR 6</t>
  </si>
  <si>
    <t>Jun10_BG_ODNR 6 D</t>
  </si>
  <si>
    <t>Jun10_BG_ODNR 2</t>
  </si>
  <si>
    <t>Jun10_BG_ODNR 2 D</t>
  </si>
  <si>
    <t>Jun10_BG_ODNR 1 D</t>
  </si>
  <si>
    <t>Jun10_BG_EC 1163 D</t>
  </si>
  <si>
    <t>Jun17_BG_Muddy Creek</t>
  </si>
  <si>
    <t>Jun17_BG_Muddy Creek D</t>
  </si>
  <si>
    <t>Jun17_BG_ODNR 4</t>
  </si>
  <si>
    <t>Jun17_BG_ODNR 4 D</t>
  </si>
  <si>
    <t>Jun17_BG_ODNR 6</t>
  </si>
  <si>
    <t>Jun17_BG_ODNR 6 D</t>
  </si>
  <si>
    <t>Jun17_BG_ODNR 2</t>
  </si>
  <si>
    <t>Jun17_BG_ODNR 2 D</t>
  </si>
  <si>
    <t>Jun17_BG_ODNR 1 D</t>
  </si>
  <si>
    <t>Jun17_BG_EC 1163 D</t>
  </si>
  <si>
    <t>Jun24_BG_Muddy Creek</t>
  </si>
  <si>
    <t>Jun24_BG_Muddy Creek D</t>
  </si>
  <si>
    <t>Jun24_BG_ODNR 4</t>
  </si>
  <si>
    <t>Jun24_BG_ODNR 4 D</t>
  </si>
  <si>
    <t>Jun24_BG_ODNR 6</t>
  </si>
  <si>
    <t>Jun24_BG_ODNR 6 D</t>
  </si>
  <si>
    <t>Jun24_BG_ODNR 2</t>
  </si>
  <si>
    <t>Jun24_BG_ODNR 2 D</t>
  </si>
  <si>
    <t>Jun24_BG_ODNR 1 D</t>
  </si>
  <si>
    <t>Jun24_BG_EC 1163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</si>
</sst>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222A35"/>
        <bgColor rgb="FF222A35"/>
      </patternFill>
    </fill>
    <fill>
      <patternFill patternType="solid">
        <fgColor rgb="FFFF0000"/>
        <bgColor rgb="FFFF0000"/>
      </patternFill>
    </fill>
  </fills>
  <borders count="6">
    <border/>
    <border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2" fontId="4" numFmtId="0" xfId="0" applyBorder="1" applyFill="1" applyFont="1"/>
    <xf borderId="2" fillId="0" fontId="4" numFmtId="0" xfId="0" applyAlignment="1" applyBorder="1" applyFont="1">
      <alignment horizontal="center" vertical="center"/>
    </xf>
    <xf borderId="0" fillId="0" fontId="4" numFmtId="14" xfId="0" applyFont="1" applyNumberFormat="1"/>
    <xf borderId="0" fillId="0" fontId="4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/>
    </xf>
    <xf borderId="3" fillId="3" fontId="4" numFmtId="0" xfId="0" applyBorder="1" applyFill="1" applyFont="1"/>
    <xf borderId="3" fillId="3" fontId="4" numFmtId="14" xfId="0" applyBorder="1" applyFont="1" applyNumberFormat="1"/>
    <xf borderId="3" fillId="4" fontId="4" numFmtId="0" xfId="0" applyAlignment="1" applyBorder="1" applyFill="1" applyFont="1">
      <alignment horizontal="center"/>
    </xf>
    <xf borderId="3" fillId="4" fontId="4" numFmtId="14" xfId="0" applyAlignment="1" applyBorder="1" applyFont="1" applyNumberFormat="1">
      <alignment horizontal="center"/>
    </xf>
    <xf borderId="3" fillId="5" fontId="4" numFmtId="0" xfId="0" applyAlignment="1" applyBorder="1" applyFill="1" applyFont="1">
      <alignment horizontal="center"/>
    </xf>
    <xf borderId="3" fillId="5" fontId="5" numFmtId="164" xfId="0" applyAlignment="1" applyBorder="1" applyFont="1" applyNumberFormat="1">
      <alignment horizontal="center"/>
    </xf>
    <xf borderId="3" fillId="5" fontId="4" numFmtId="164" xfId="0" applyAlignment="1" applyBorder="1" applyFont="1" applyNumberFormat="1">
      <alignment horizontal="center"/>
    </xf>
    <xf borderId="3" fillId="5" fontId="4" numFmtId="0" xfId="0" applyBorder="1" applyFont="1"/>
    <xf borderId="3" fillId="3" fontId="4" numFmtId="0" xfId="0" applyAlignment="1" applyBorder="1" applyFont="1">
      <alignment horizontal="center"/>
    </xf>
    <xf borderId="0" fillId="0" fontId="4" numFmtId="2" xfId="0" applyAlignment="1" applyFont="1" applyNumberFormat="1">
      <alignment horizontal="center"/>
    </xf>
    <xf borderId="4" fillId="0" fontId="4" numFmtId="0" xfId="0" applyAlignment="1" applyBorder="1" applyFont="1">
      <alignment horizontal="center"/>
    </xf>
    <xf borderId="5" fillId="3" fontId="4" numFmtId="0" xfId="0" applyBorder="1" applyFont="1"/>
    <xf borderId="4" fillId="0" fontId="4" numFmtId="0" xfId="0" applyBorder="1" applyFont="1"/>
    <xf borderId="3" fillId="6" fontId="4" numFmtId="0" xfId="0" applyBorder="1" applyFill="1" applyFont="1"/>
    <xf borderId="4" fillId="0" fontId="4" numFmtId="14" xfId="0" applyBorder="1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8.71"/>
    <col customWidth="1" min="2" max="2" width="17.57"/>
    <col customWidth="1" min="3" max="3" width="9.71"/>
    <col customWidth="1" min="4" max="4" width="10.71"/>
    <col customWidth="1" min="5" max="6" width="8.71"/>
    <col customWidth="1" min="7" max="7" width="0.86"/>
    <col customWidth="1" min="8" max="8" width="22.57"/>
    <col customWidth="1" min="9" max="9" width="20.0"/>
    <col customWidth="1" min="10" max="10" width="18.14"/>
    <col customWidth="1" min="11" max="11" width="15.14"/>
    <col customWidth="1" min="12" max="12" width="14.14"/>
    <col customWidth="1" min="13" max="13" width="17.57"/>
    <col customWidth="1" min="14" max="14" width="14.86"/>
    <col customWidth="1" min="15" max="15" width="16.57"/>
    <col customWidth="1" min="16" max="16" width="13.86"/>
    <col customWidth="1" min="17" max="17" width="1.14"/>
    <col customWidth="1" min="18" max="18" width="15.57"/>
    <col customWidth="1" min="19" max="19" width="14.57"/>
    <col customWidth="1" min="20" max="26" width="8.71"/>
  </cols>
  <sheetData>
    <row r="1" ht="14.25" customHeight="1">
      <c r="A1" s="1" t="s">
        <v>0</v>
      </c>
      <c r="B1" s="1" t="s">
        <v>1</v>
      </c>
      <c r="D1" s="1" t="s">
        <v>2</v>
      </c>
      <c r="E1" s="1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3" t="s">
        <v>12</v>
      </c>
      <c r="R1" s="4" t="s">
        <v>13</v>
      </c>
      <c r="S1" s="4" t="s">
        <v>14</v>
      </c>
      <c r="U1" s="5" t="s">
        <v>15</v>
      </c>
      <c r="V1" s="5" t="s">
        <v>16</v>
      </c>
    </row>
    <row r="2" ht="14.25" customHeight="1">
      <c r="A2" s="1" t="s">
        <v>17</v>
      </c>
      <c r="B2" s="1" t="s">
        <v>18</v>
      </c>
      <c r="D2" s="6">
        <v>45811.0</v>
      </c>
      <c r="E2" s="1" t="s">
        <v>19</v>
      </c>
      <c r="H2" s="7">
        <v>520.25</v>
      </c>
      <c r="I2" s="7">
        <v>1.198</v>
      </c>
      <c r="J2" s="7">
        <v>0.137</v>
      </c>
      <c r="K2" s="7">
        <v>115.295</v>
      </c>
      <c r="L2" s="7">
        <v>5.0175</v>
      </c>
      <c r="M2" s="8">
        <f t="shared" ref="M2:M20" si="1">N2-H2</f>
        <v>104.26</v>
      </c>
      <c r="N2" s="9">
        <v>624.51</v>
      </c>
      <c r="O2" s="10">
        <f t="shared" ref="O2:O20" si="2">N2/L2</f>
        <v>124.4663677</v>
      </c>
      <c r="R2" s="1" t="s">
        <v>20</v>
      </c>
      <c r="S2" s="1" t="s">
        <v>21</v>
      </c>
      <c r="U2" s="1">
        <f t="shared" ref="U2:U20" si="3">J2/L2</f>
        <v>0.02730443448</v>
      </c>
      <c r="V2" s="1">
        <f t="shared" ref="V2:V20" si="4">(H2+I2)/N2</f>
        <v>0.8349714176</v>
      </c>
    </row>
    <row r="3" ht="14.25" customHeight="1">
      <c r="A3" s="1" t="s">
        <v>17</v>
      </c>
      <c r="B3" s="1" t="s">
        <v>22</v>
      </c>
      <c r="D3" s="6">
        <v>45811.0</v>
      </c>
      <c r="E3" s="1" t="s">
        <v>23</v>
      </c>
      <c r="H3" s="7">
        <v>408.83000000000004</v>
      </c>
      <c r="I3" s="7">
        <v>1.301</v>
      </c>
      <c r="J3" s="7">
        <v>0.202</v>
      </c>
      <c r="K3" s="7">
        <v>43.831</v>
      </c>
      <c r="L3" s="7">
        <v>4.335</v>
      </c>
      <c r="M3" s="8">
        <f t="shared" si="1"/>
        <v>90.615</v>
      </c>
      <c r="N3" s="7">
        <v>499.445</v>
      </c>
      <c r="O3" s="10">
        <f t="shared" si="2"/>
        <v>115.2122261</v>
      </c>
      <c r="R3" s="1" t="s">
        <v>20</v>
      </c>
      <c r="S3" s="1" t="s">
        <v>21</v>
      </c>
      <c r="U3" s="1">
        <f t="shared" si="3"/>
        <v>0.04659746251</v>
      </c>
      <c r="V3" s="1">
        <f t="shared" si="4"/>
        <v>0.8211735026</v>
      </c>
    </row>
    <row r="4" ht="14.25" customHeight="1">
      <c r="A4" s="1" t="s">
        <v>17</v>
      </c>
      <c r="B4" s="1" t="s">
        <v>24</v>
      </c>
      <c r="D4" s="6">
        <v>45811.0</v>
      </c>
      <c r="E4" s="1" t="s">
        <v>25</v>
      </c>
      <c r="H4" s="7">
        <v>332.51</v>
      </c>
      <c r="I4" s="7">
        <v>1.624</v>
      </c>
      <c r="J4" s="7">
        <v>0.03</v>
      </c>
      <c r="K4" s="7">
        <v>47.961</v>
      </c>
      <c r="L4" s="7">
        <v>2.899</v>
      </c>
      <c r="M4" s="8">
        <f t="shared" si="1"/>
        <v>81.795</v>
      </c>
      <c r="N4" s="7">
        <v>414.305</v>
      </c>
      <c r="O4" s="10">
        <f t="shared" si="2"/>
        <v>142.9130735</v>
      </c>
      <c r="R4" s="1" t="s">
        <v>20</v>
      </c>
      <c r="S4" s="1" t="s">
        <v>21</v>
      </c>
      <c r="U4" s="1">
        <f t="shared" si="3"/>
        <v>0.010348396</v>
      </c>
      <c r="V4" s="1">
        <f t="shared" si="4"/>
        <v>0.8064928012</v>
      </c>
    </row>
    <row r="5" ht="14.25" customHeight="1">
      <c r="A5" s="1" t="s">
        <v>17</v>
      </c>
      <c r="B5" s="1" t="s">
        <v>26</v>
      </c>
      <c r="D5" s="6">
        <v>45811.0</v>
      </c>
      <c r="E5" s="1" t="s">
        <v>27</v>
      </c>
      <c r="H5" s="7">
        <v>231.82999999999998</v>
      </c>
      <c r="I5" s="7">
        <v>1.037</v>
      </c>
      <c r="J5" s="7">
        <v>0.013</v>
      </c>
      <c r="K5" s="7">
        <v>11.066</v>
      </c>
      <c r="L5" s="7">
        <v>2.7954999999999997</v>
      </c>
      <c r="M5" s="8">
        <f t="shared" si="1"/>
        <v>63.254</v>
      </c>
      <c r="N5" s="7">
        <v>295.084</v>
      </c>
      <c r="O5" s="10">
        <f t="shared" si="2"/>
        <v>105.5567877</v>
      </c>
      <c r="R5" s="1" t="s">
        <v>20</v>
      </c>
      <c r="S5" s="1" t="s">
        <v>21</v>
      </c>
      <c r="U5" s="1">
        <f t="shared" si="3"/>
        <v>0.004650330889</v>
      </c>
      <c r="V5" s="1">
        <f t="shared" si="4"/>
        <v>0.7891549525</v>
      </c>
    </row>
    <row r="6" ht="14.25" customHeight="1">
      <c r="A6" s="1" t="s">
        <v>17</v>
      </c>
      <c r="B6" s="1" t="s">
        <v>28</v>
      </c>
      <c r="D6" s="6">
        <v>45811.0</v>
      </c>
      <c r="E6" s="1" t="s">
        <v>29</v>
      </c>
      <c r="H6" s="7">
        <v>191.20999999999998</v>
      </c>
      <c r="I6" s="7">
        <v>2.083</v>
      </c>
      <c r="J6" s="7">
        <v>0.038</v>
      </c>
      <c r="K6" s="7">
        <v>12.881</v>
      </c>
      <c r="L6" s="7">
        <v>2.115</v>
      </c>
      <c r="M6" s="8">
        <f t="shared" si="1"/>
        <v>62.394</v>
      </c>
      <c r="N6" s="7">
        <v>253.60399999999998</v>
      </c>
      <c r="O6" s="10">
        <f t="shared" si="2"/>
        <v>119.9073286</v>
      </c>
      <c r="R6" s="1" t="s">
        <v>20</v>
      </c>
      <c r="S6" s="1" t="s">
        <v>21</v>
      </c>
      <c r="U6" s="1">
        <f t="shared" si="3"/>
        <v>0.01796690307</v>
      </c>
      <c r="V6" s="1">
        <f t="shared" si="4"/>
        <v>0.7621843504</v>
      </c>
    </row>
    <row r="7" ht="14.25" customHeight="1">
      <c r="A7" s="1" t="s">
        <v>17</v>
      </c>
      <c r="B7" s="1" t="s">
        <v>30</v>
      </c>
      <c r="D7" s="6">
        <v>45811.0</v>
      </c>
      <c r="E7" s="1" t="s">
        <v>31</v>
      </c>
      <c r="H7" s="7">
        <v>174.54999999999998</v>
      </c>
      <c r="I7" s="7">
        <v>0.168</v>
      </c>
      <c r="J7" s="7">
        <v>0.072</v>
      </c>
      <c r="K7" s="7">
        <v>5.4</v>
      </c>
      <c r="L7" s="7">
        <v>1.9105</v>
      </c>
      <c r="M7" s="8">
        <f t="shared" si="1"/>
        <v>53.5855</v>
      </c>
      <c r="N7" s="7">
        <v>228.1355</v>
      </c>
      <c r="O7" s="10">
        <f t="shared" si="2"/>
        <v>119.4114106</v>
      </c>
      <c r="R7" s="1" t="s">
        <v>20</v>
      </c>
      <c r="S7" s="1" t="s">
        <v>21</v>
      </c>
      <c r="U7" s="1">
        <f t="shared" si="3"/>
        <v>0.03768646951</v>
      </c>
      <c r="V7" s="1">
        <f t="shared" si="4"/>
        <v>0.7658518731</v>
      </c>
    </row>
    <row r="8" ht="14.25" customHeight="1">
      <c r="A8" s="1" t="s">
        <v>17</v>
      </c>
      <c r="B8" s="1" t="s">
        <v>32</v>
      </c>
      <c r="D8" s="6">
        <v>45811.0</v>
      </c>
      <c r="E8" s="1" t="s">
        <v>33</v>
      </c>
      <c r="H8" s="7">
        <v>159.9</v>
      </c>
      <c r="I8" s="7">
        <v>1.548</v>
      </c>
      <c r="J8" s="7">
        <v>0.065</v>
      </c>
      <c r="K8" s="7">
        <v>15.033</v>
      </c>
      <c r="L8" s="7">
        <v>1.7005</v>
      </c>
      <c r="M8" s="8">
        <f t="shared" si="1"/>
        <v>47.772</v>
      </c>
      <c r="N8" s="7">
        <v>207.672</v>
      </c>
      <c r="O8" s="10">
        <f t="shared" si="2"/>
        <v>122.1240812</v>
      </c>
      <c r="R8" s="1" t="s">
        <v>20</v>
      </c>
      <c r="S8" s="1" t="s">
        <v>21</v>
      </c>
      <c r="U8" s="1">
        <f t="shared" si="3"/>
        <v>0.03822405175</v>
      </c>
      <c r="V8" s="1">
        <f t="shared" si="4"/>
        <v>0.7774182364</v>
      </c>
    </row>
    <row r="9" ht="14.25" customHeight="1">
      <c r="A9" s="1" t="s">
        <v>17</v>
      </c>
      <c r="B9" s="1" t="s">
        <v>34</v>
      </c>
      <c r="D9" s="6">
        <v>45811.0</v>
      </c>
      <c r="E9" s="1" t="s">
        <v>35</v>
      </c>
      <c r="H9" s="7">
        <v>113.59</v>
      </c>
      <c r="I9" s="7">
        <v>1.499</v>
      </c>
      <c r="J9" s="7">
        <v>0.137</v>
      </c>
      <c r="K9" s="7">
        <v>18.86</v>
      </c>
      <c r="L9" s="7">
        <v>1.9145</v>
      </c>
      <c r="M9" s="8">
        <f t="shared" si="1"/>
        <v>47.387</v>
      </c>
      <c r="N9" s="7">
        <v>160.977</v>
      </c>
      <c r="O9" s="10">
        <f t="shared" si="2"/>
        <v>84.0830504</v>
      </c>
      <c r="R9" s="1" t="s">
        <v>20</v>
      </c>
      <c r="S9" s="1" t="s">
        <v>21</v>
      </c>
      <c r="U9" s="1">
        <f t="shared" si="3"/>
        <v>0.07155915383</v>
      </c>
      <c r="V9" s="1">
        <f t="shared" si="4"/>
        <v>0.7149406437</v>
      </c>
    </row>
    <row r="10" ht="14.25" customHeight="1">
      <c r="A10" s="1" t="s">
        <v>17</v>
      </c>
      <c r="B10" s="1" t="s">
        <v>36</v>
      </c>
      <c r="D10" s="6">
        <v>45811.0</v>
      </c>
      <c r="E10" s="1" t="s">
        <v>37</v>
      </c>
      <c r="H10" s="7">
        <v>97.825</v>
      </c>
      <c r="I10" s="7">
        <v>2.041</v>
      </c>
      <c r="J10" s="7">
        <v>0.054</v>
      </c>
      <c r="K10" s="7">
        <v>18.783</v>
      </c>
      <c r="L10" s="7">
        <v>1.549</v>
      </c>
      <c r="M10" s="8">
        <f t="shared" si="1"/>
        <v>48.3685</v>
      </c>
      <c r="N10" s="7">
        <v>146.1935</v>
      </c>
      <c r="O10" s="10">
        <f t="shared" si="2"/>
        <v>94.37927695</v>
      </c>
      <c r="R10" s="1" t="s">
        <v>20</v>
      </c>
      <c r="S10" s="1" t="s">
        <v>21</v>
      </c>
      <c r="U10" s="1">
        <f t="shared" si="3"/>
        <v>0.03486120077</v>
      </c>
      <c r="V10" s="1">
        <f t="shared" si="4"/>
        <v>0.6831083461</v>
      </c>
    </row>
    <row r="11" ht="14.25" customHeight="1">
      <c r="A11" s="1" t="s">
        <v>17</v>
      </c>
      <c r="B11" s="1" t="s">
        <v>38</v>
      </c>
      <c r="D11" s="6">
        <v>45811.0</v>
      </c>
      <c r="E11" s="1" t="s">
        <v>39</v>
      </c>
      <c r="H11" s="7">
        <v>105.812</v>
      </c>
      <c r="I11" s="7">
        <v>1.617</v>
      </c>
      <c r="J11" s="7">
        <v>0.162</v>
      </c>
      <c r="K11" s="7">
        <v>46.098</v>
      </c>
      <c r="L11" s="7">
        <v>1.417</v>
      </c>
      <c r="M11" s="8">
        <f t="shared" si="1"/>
        <v>31.502</v>
      </c>
      <c r="N11" s="7">
        <v>137.31400000000002</v>
      </c>
      <c r="O11" s="10">
        <f t="shared" si="2"/>
        <v>96.9047283</v>
      </c>
      <c r="R11" s="1" t="s">
        <v>20</v>
      </c>
      <c r="S11" s="1" t="s">
        <v>21</v>
      </c>
      <c r="U11" s="1">
        <f t="shared" si="3"/>
        <v>0.1143260409</v>
      </c>
      <c r="V11" s="1">
        <f t="shared" si="4"/>
        <v>0.7823601381</v>
      </c>
    </row>
    <row r="12" ht="14.25" customHeight="1">
      <c r="A12" s="1" t="s">
        <v>17</v>
      </c>
      <c r="B12" s="1" t="s">
        <v>40</v>
      </c>
      <c r="D12" s="6">
        <v>45818.0</v>
      </c>
      <c r="E12" s="1" t="s">
        <v>19</v>
      </c>
      <c r="H12" s="7">
        <v>37.801</v>
      </c>
      <c r="I12" s="7">
        <v>6.838</v>
      </c>
      <c r="J12" s="7">
        <v>0.173</v>
      </c>
      <c r="K12" s="7">
        <v>34.318</v>
      </c>
      <c r="L12" s="7">
        <v>4.9025</v>
      </c>
      <c r="M12" s="8">
        <f t="shared" si="1"/>
        <v>422.544</v>
      </c>
      <c r="N12" s="7">
        <v>460.345</v>
      </c>
      <c r="O12" s="10">
        <f t="shared" si="2"/>
        <v>93.90005099</v>
      </c>
      <c r="R12" s="1" t="s">
        <v>20</v>
      </c>
      <c r="S12" s="1" t="s">
        <v>21</v>
      </c>
      <c r="U12" s="1">
        <f t="shared" si="3"/>
        <v>0.03528811831</v>
      </c>
      <c r="V12" s="1">
        <f t="shared" si="4"/>
        <v>0.09696857791</v>
      </c>
    </row>
    <row r="13" ht="14.25" customHeight="1">
      <c r="A13" s="1" t="s">
        <v>17</v>
      </c>
      <c r="B13" s="1" t="s">
        <v>41</v>
      </c>
      <c r="D13" s="6">
        <v>45818.0</v>
      </c>
      <c r="E13" s="1" t="s">
        <v>23</v>
      </c>
      <c r="H13" s="7">
        <v>22.701</v>
      </c>
      <c r="I13" s="7">
        <v>7.961</v>
      </c>
      <c r="J13" s="7">
        <v>0.376</v>
      </c>
      <c r="K13" s="7">
        <v>13.883</v>
      </c>
      <c r="L13" s="7">
        <v>3.5575</v>
      </c>
      <c r="M13" s="8">
        <f t="shared" si="1"/>
        <v>273.6725</v>
      </c>
      <c r="N13" s="7">
        <v>296.37350000000004</v>
      </c>
      <c r="O13" s="10">
        <f t="shared" si="2"/>
        <v>83.309487</v>
      </c>
      <c r="R13" s="1" t="s">
        <v>20</v>
      </c>
      <c r="S13" s="1" t="s">
        <v>21</v>
      </c>
      <c r="U13" s="1">
        <f t="shared" si="3"/>
        <v>0.1056921996</v>
      </c>
      <c r="V13" s="1">
        <f t="shared" si="4"/>
        <v>0.1034572929</v>
      </c>
    </row>
    <row r="14" ht="14.25" customHeight="1">
      <c r="A14" s="1" t="s">
        <v>17</v>
      </c>
      <c r="B14" s="1" t="s">
        <v>42</v>
      </c>
      <c r="D14" s="6">
        <v>45818.0</v>
      </c>
      <c r="E14" s="1" t="s">
        <v>25</v>
      </c>
      <c r="H14" s="7">
        <v>20.808</v>
      </c>
      <c r="I14" s="7">
        <v>5.842</v>
      </c>
      <c r="J14" s="7">
        <v>0.103</v>
      </c>
      <c r="K14" s="7">
        <v>6.844</v>
      </c>
      <c r="L14" s="7">
        <v>2.976</v>
      </c>
      <c r="M14" s="8">
        <f t="shared" si="1"/>
        <v>256.3615</v>
      </c>
      <c r="N14" s="7">
        <v>277.16949999999997</v>
      </c>
      <c r="O14" s="10">
        <f t="shared" si="2"/>
        <v>93.13491263</v>
      </c>
      <c r="R14" s="1" t="s">
        <v>20</v>
      </c>
      <c r="S14" s="1" t="s">
        <v>21</v>
      </c>
      <c r="U14" s="1">
        <f t="shared" si="3"/>
        <v>0.03461021505</v>
      </c>
      <c r="V14" s="1">
        <f t="shared" si="4"/>
        <v>0.09615055048</v>
      </c>
    </row>
    <row r="15" ht="14.25" customHeight="1">
      <c r="A15" s="1" t="s">
        <v>17</v>
      </c>
      <c r="B15" s="1" t="s">
        <v>43</v>
      </c>
      <c r="D15" s="6">
        <v>45818.0</v>
      </c>
      <c r="E15" s="1" t="s">
        <v>27</v>
      </c>
      <c r="H15" s="7">
        <v>253.29999999999998</v>
      </c>
      <c r="I15" s="7">
        <v>4.21</v>
      </c>
      <c r="J15" s="7">
        <v>0.197</v>
      </c>
      <c r="K15" s="7">
        <v>6.551</v>
      </c>
      <c r="L15" s="7">
        <v>3.643</v>
      </c>
      <c r="M15" s="8">
        <f t="shared" si="1"/>
        <v>57.5485</v>
      </c>
      <c r="N15" s="7">
        <v>310.8485</v>
      </c>
      <c r="O15" s="10">
        <f t="shared" si="2"/>
        <v>85.3276146</v>
      </c>
      <c r="R15" s="1" t="s">
        <v>20</v>
      </c>
      <c r="S15" s="1" t="s">
        <v>21</v>
      </c>
      <c r="U15" s="1">
        <f t="shared" si="3"/>
        <v>0.05407631073</v>
      </c>
      <c r="V15" s="1">
        <f t="shared" si="4"/>
        <v>0.8284099811</v>
      </c>
    </row>
    <row r="16" ht="14.25" customHeight="1">
      <c r="A16" s="1" t="s">
        <v>17</v>
      </c>
      <c r="B16" s="1" t="s">
        <v>44</v>
      </c>
      <c r="D16" s="6">
        <v>45818.0</v>
      </c>
      <c r="E16" s="1" t="s">
        <v>29</v>
      </c>
      <c r="H16" s="7">
        <v>14.216</v>
      </c>
      <c r="I16" s="7">
        <v>4.084</v>
      </c>
      <c r="J16" s="7">
        <v>0.264</v>
      </c>
      <c r="K16" s="7">
        <v>15.486</v>
      </c>
      <c r="L16" s="7">
        <v>1.818</v>
      </c>
      <c r="M16" s="8">
        <f t="shared" si="1"/>
        <v>179.997</v>
      </c>
      <c r="N16" s="7">
        <v>194.21300000000002</v>
      </c>
      <c r="O16" s="10">
        <f t="shared" si="2"/>
        <v>106.8278328</v>
      </c>
      <c r="R16" s="1" t="s">
        <v>20</v>
      </c>
      <c r="S16" s="1" t="s">
        <v>21</v>
      </c>
      <c r="U16" s="1">
        <f t="shared" si="3"/>
        <v>0.1452145215</v>
      </c>
      <c r="V16" s="1">
        <f t="shared" si="4"/>
        <v>0.0942264421</v>
      </c>
    </row>
    <row r="17" ht="14.25" customHeight="1">
      <c r="A17" s="1" t="s">
        <v>17</v>
      </c>
      <c r="B17" s="1" t="s">
        <v>45</v>
      </c>
      <c r="D17" s="6">
        <v>45818.0</v>
      </c>
      <c r="E17" s="1" t="s">
        <v>31</v>
      </c>
      <c r="H17" s="7">
        <v>138.84</v>
      </c>
      <c r="I17" s="7">
        <v>3.31</v>
      </c>
      <c r="J17" s="7">
        <v>0.21</v>
      </c>
      <c r="K17" s="7">
        <v>28.729</v>
      </c>
      <c r="L17" s="7">
        <v>1.8775</v>
      </c>
      <c r="M17" s="8">
        <f t="shared" si="1"/>
        <v>62.335</v>
      </c>
      <c r="N17" s="7">
        <v>201.175</v>
      </c>
      <c r="O17" s="10">
        <f t="shared" si="2"/>
        <v>107.150466</v>
      </c>
      <c r="R17" s="1" t="s">
        <v>20</v>
      </c>
      <c r="S17" s="1" t="s">
        <v>21</v>
      </c>
      <c r="U17" s="1">
        <f t="shared" si="3"/>
        <v>0.1118508655</v>
      </c>
      <c r="V17" s="1">
        <f t="shared" si="4"/>
        <v>0.7065987324</v>
      </c>
    </row>
    <row r="18" ht="14.25" customHeight="1">
      <c r="A18" s="1" t="s">
        <v>17</v>
      </c>
      <c r="B18" s="1" t="s">
        <v>46</v>
      </c>
      <c r="D18" s="6">
        <v>45818.0</v>
      </c>
      <c r="E18" s="1" t="s">
        <v>33</v>
      </c>
      <c r="H18" s="7">
        <v>12.648</v>
      </c>
      <c r="I18" s="7">
        <v>5.506</v>
      </c>
      <c r="J18" s="7">
        <v>0.151</v>
      </c>
      <c r="K18" s="7">
        <v>26.895</v>
      </c>
      <c r="L18" s="7">
        <v>1.8145</v>
      </c>
      <c r="M18" s="8">
        <f t="shared" si="1"/>
        <v>162.722</v>
      </c>
      <c r="N18" s="7">
        <v>175.37</v>
      </c>
      <c r="O18" s="10">
        <f t="shared" si="2"/>
        <v>96.64921466</v>
      </c>
      <c r="R18" s="1" t="s">
        <v>20</v>
      </c>
      <c r="S18" s="1" t="s">
        <v>21</v>
      </c>
      <c r="U18" s="1">
        <f t="shared" si="3"/>
        <v>0.0832185175</v>
      </c>
      <c r="V18" s="1">
        <f t="shared" si="4"/>
        <v>0.1035182756</v>
      </c>
    </row>
    <row r="19" ht="14.25" customHeight="1">
      <c r="A19" s="1" t="s">
        <v>17</v>
      </c>
      <c r="B19" s="1" t="s">
        <v>47</v>
      </c>
      <c r="D19" s="6">
        <v>45818.0</v>
      </c>
      <c r="E19" s="1" t="s">
        <v>35</v>
      </c>
      <c r="H19" s="7">
        <v>15.368</v>
      </c>
      <c r="I19" s="7">
        <v>4.344</v>
      </c>
      <c r="J19" s="7">
        <v>0.166</v>
      </c>
      <c r="K19" s="7">
        <v>26.192</v>
      </c>
      <c r="L19" s="7">
        <v>2.488</v>
      </c>
      <c r="M19" s="8">
        <f t="shared" si="1"/>
        <v>196.488</v>
      </c>
      <c r="N19" s="7">
        <v>211.856</v>
      </c>
      <c r="O19" s="10">
        <f t="shared" si="2"/>
        <v>85.1511254</v>
      </c>
      <c r="R19" s="1" t="s">
        <v>20</v>
      </c>
      <c r="S19" s="1" t="s">
        <v>21</v>
      </c>
      <c r="U19" s="1">
        <f t="shared" si="3"/>
        <v>0.06672025723</v>
      </c>
      <c r="V19" s="1">
        <f t="shared" si="4"/>
        <v>0.093044332</v>
      </c>
    </row>
    <row r="20" ht="14.25" customHeight="1">
      <c r="A20" s="1" t="s">
        <v>17</v>
      </c>
      <c r="B20" s="1" t="s">
        <v>48</v>
      </c>
      <c r="D20" s="6">
        <v>45818.0</v>
      </c>
      <c r="E20" s="1" t="s">
        <v>37</v>
      </c>
      <c r="H20" s="7">
        <v>74.601</v>
      </c>
      <c r="I20" s="7">
        <v>0.675</v>
      </c>
      <c r="J20" s="7">
        <v>0.035</v>
      </c>
      <c r="K20" s="7">
        <v>53.488</v>
      </c>
      <c r="L20" s="7">
        <v>2.0084999999999997</v>
      </c>
      <c r="M20" s="8">
        <f t="shared" si="1"/>
        <v>47.9265</v>
      </c>
      <c r="N20" s="7">
        <v>122.5275</v>
      </c>
      <c r="O20" s="10">
        <f t="shared" si="2"/>
        <v>61.00448096</v>
      </c>
      <c r="R20" s="1" t="s">
        <v>20</v>
      </c>
      <c r="S20" s="1" t="s">
        <v>21</v>
      </c>
      <c r="U20" s="1">
        <f t="shared" si="3"/>
        <v>0.01742593976</v>
      </c>
      <c r="V20" s="1">
        <f t="shared" si="4"/>
        <v>0.6143600416</v>
      </c>
    </row>
    <row r="21" ht="14.25" customHeight="1">
      <c r="A21" s="11" t="s">
        <v>17</v>
      </c>
      <c r="B21" s="11" t="s">
        <v>49</v>
      </c>
      <c r="C21" s="11"/>
      <c r="D21" s="12">
        <v>45818.0</v>
      </c>
      <c r="E21" s="11" t="s">
        <v>39</v>
      </c>
      <c r="H21" s="13"/>
      <c r="I21" s="13"/>
      <c r="J21" s="13"/>
      <c r="K21" s="14"/>
      <c r="L21" s="15"/>
      <c r="M21" s="16"/>
      <c r="N21" s="15"/>
      <c r="O21" s="17"/>
      <c r="P21" s="1" t="s">
        <v>50</v>
      </c>
      <c r="R21" s="18" t="s">
        <v>20</v>
      </c>
      <c r="S21" s="18"/>
      <c r="T21" s="11"/>
      <c r="U21" s="11"/>
      <c r="V21" s="11"/>
      <c r="W21" s="11"/>
      <c r="X21" s="11"/>
      <c r="Y21" s="11"/>
      <c r="Z21" s="11"/>
    </row>
    <row r="22" ht="14.25" customHeight="1">
      <c r="A22" s="1" t="s">
        <v>17</v>
      </c>
      <c r="B22" s="1" t="s">
        <v>51</v>
      </c>
      <c r="D22" s="6">
        <v>45825.0</v>
      </c>
      <c r="E22" s="1" t="s">
        <v>19</v>
      </c>
      <c r="H22" s="7">
        <v>362.76000000000005</v>
      </c>
      <c r="I22" s="7">
        <v>2.608</v>
      </c>
      <c r="J22" s="7">
        <v>0.69</v>
      </c>
      <c r="K22" s="7">
        <v>76.186</v>
      </c>
      <c r="L22" s="7">
        <v>5.8825</v>
      </c>
      <c r="M22" s="8">
        <f t="shared" ref="M22:M106" si="5">N22-H22</f>
        <v>78.745</v>
      </c>
      <c r="N22" s="7">
        <v>441.505</v>
      </c>
      <c r="O22" s="10">
        <f t="shared" ref="O22:O106" si="6">N22/L22</f>
        <v>75.05397365</v>
      </c>
      <c r="R22" s="1" t="s">
        <v>20</v>
      </c>
      <c r="S22" s="1" t="s">
        <v>21</v>
      </c>
      <c r="U22" s="1">
        <f t="shared" ref="U22:U106" si="7">J22/L22</f>
        <v>0.1172970676</v>
      </c>
      <c r="V22" s="1">
        <f t="shared" ref="V22:V106" si="8">(H22+I22)/N22</f>
        <v>0.8275512169</v>
      </c>
    </row>
    <row r="23" ht="14.25" customHeight="1">
      <c r="A23" s="1" t="s">
        <v>17</v>
      </c>
      <c r="B23" s="1" t="s">
        <v>52</v>
      </c>
      <c r="D23" s="6">
        <v>45825.0</v>
      </c>
      <c r="E23" s="1" t="s">
        <v>23</v>
      </c>
      <c r="H23" s="7">
        <v>165.26</v>
      </c>
      <c r="I23" s="7">
        <v>2.466</v>
      </c>
      <c r="J23" s="7">
        <v>0.486</v>
      </c>
      <c r="K23" s="7">
        <v>31.184</v>
      </c>
      <c r="L23" s="7">
        <v>3.145</v>
      </c>
      <c r="M23" s="8">
        <f t="shared" si="5"/>
        <v>61.965</v>
      </c>
      <c r="N23" s="7">
        <v>227.225</v>
      </c>
      <c r="O23" s="10">
        <f t="shared" si="6"/>
        <v>72.24960254</v>
      </c>
      <c r="R23" s="1" t="s">
        <v>20</v>
      </c>
      <c r="S23" s="1" t="s">
        <v>21</v>
      </c>
      <c r="U23" s="1">
        <f t="shared" si="7"/>
        <v>0.1545310016</v>
      </c>
      <c r="V23" s="1">
        <f t="shared" si="8"/>
        <v>0.7381494114</v>
      </c>
    </row>
    <row r="24" ht="14.25" customHeight="1">
      <c r="A24" s="1" t="s">
        <v>17</v>
      </c>
      <c r="B24" s="1" t="s">
        <v>53</v>
      </c>
      <c r="D24" s="6">
        <v>45825.0</v>
      </c>
      <c r="E24" s="1" t="s">
        <v>25</v>
      </c>
      <c r="H24" s="7">
        <v>250.47</v>
      </c>
      <c r="I24" s="7">
        <v>4.314</v>
      </c>
      <c r="J24" s="7">
        <v>0.307</v>
      </c>
      <c r="K24" s="7">
        <v>16.304</v>
      </c>
      <c r="L24" s="7">
        <v>2.9154999999999998</v>
      </c>
      <c r="M24" s="8">
        <f t="shared" si="5"/>
        <v>65.0125</v>
      </c>
      <c r="N24" s="7">
        <v>315.4825</v>
      </c>
      <c r="O24" s="10">
        <f t="shared" si="6"/>
        <v>108.2087121</v>
      </c>
      <c r="R24" s="1" t="s">
        <v>20</v>
      </c>
      <c r="S24" s="1" t="s">
        <v>21</v>
      </c>
      <c r="U24" s="1">
        <f t="shared" si="7"/>
        <v>0.1052992626</v>
      </c>
      <c r="V24" s="1">
        <f t="shared" si="8"/>
        <v>0.8076010555</v>
      </c>
    </row>
    <row r="25" ht="14.25" customHeight="1">
      <c r="A25" s="1" t="s">
        <v>17</v>
      </c>
      <c r="B25" s="1" t="s">
        <v>54</v>
      </c>
      <c r="D25" s="6">
        <v>45825.0</v>
      </c>
      <c r="E25" s="1" t="s">
        <v>27</v>
      </c>
      <c r="H25" s="7">
        <v>176.82999999999998</v>
      </c>
      <c r="I25" s="7">
        <v>2.148</v>
      </c>
      <c r="J25" s="7">
        <v>0.286</v>
      </c>
      <c r="K25" s="7">
        <v>31.165</v>
      </c>
      <c r="L25" s="7">
        <v>2.5595</v>
      </c>
      <c r="M25" s="8">
        <f t="shared" si="5"/>
        <v>57.439</v>
      </c>
      <c r="N25" s="7">
        <v>234.269</v>
      </c>
      <c r="O25" s="10">
        <f t="shared" si="6"/>
        <v>91.52920492</v>
      </c>
      <c r="R25" s="1" t="s">
        <v>20</v>
      </c>
      <c r="S25" s="1" t="s">
        <v>21</v>
      </c>
      <c r="U25" s="1">
        <f t="shared" si="7"/>
        <v>0.1117405743</v>
      </c>
      <c r="V25" s="1">
        <f t="shared" si="8"/>
        <v>0.7639849916</v>
      </c>
    </row>
    <row r="26" ht="14.25" customHeight="1">
      <c r="A26" s="1" t="s">
        <v>17</v>
      </c>
      <c r="B26" s="1" t="s">
        <v>55</v>
      </c>
      <c r="D26" s="6">
        <v>45825.0</v>
      </c>
      <c r="E26" s="1" t="s">
        <v>29</v>
      </c>
      <c r="H26" s="7">
        <v>152.93</v>
      </c>
      <c r="I26" s="7">
        <v>3.258</v>
      </c>
      <c r="J26" s="7">
        <v>0.452</v>
      </c>
      <c r="K26" s="7">
        <v>33.673</v>
      </c>
      <c r="L26" s="7">
        <v>1.9135</v>
      </c>
      <c r="M26" s="8">
        <f t="shared" si="5"/>
        <v>48.1535</v>
      </c>
      <c r="N26" s="7">
        <v>201.08350000000002</v>
      </c>
      <c r="O26" s="10">
        <f t="shared" si="6"/>
        <v>105.086752</v>
      </c>
      <c r="R26" s="1" t="s">
        <v>20</v>
      </c>
      <c r="S26" s="1" t="s">
        <v>21</v>
      </c>
      <c r="U26" s="1">
        <f t="shared" si="7"/>
        <v>0.2362163575</v>
      </c>
      <c r="V26" s="1">
        <f t="shared" si="8"/>
        <v>0.7767320541</v>
      </c>
    </row>
    <row r="27" ht="14.25" customHeight="1">
      <c r="A27" s="1" t="s">
        <v>17</v>
      </c>
      <c r="B27" s="1" t="s">
        <v>56</v>
      </c>
      <c r="D27" s="6">
        <v>45825.0</v>
      </c>
      <c r="E27" s="1" t="s">
        <v>31</v>
      </c>
      <c r="H27" s="7">
        <v>139.1</v>
      </c>
      <c r="I27" s="7">
        <v>3.294</v>
      </c>
      <c r="J27" s="7">
        <v>0.344</v>
      </c>
      <c r="K27" s="7">
        <v>30.717</v>
      </c>
      <c r="L27" s="7">
        <v>1.7494999999999998</v>
      </c>
      <c r="M27" s="8">
        <f t="shared" si="5"/>
        <v>48.0335</v>
      </c>
      <c r="N27" s="7">
        <v>187.1335</v>
      </c>
      <c r="O27" s="10">
        <f t="shared" si="6"/>
        <v>106.9639897</v>
      </c>
      <c r="R27" s="1" t="s">
        <v>20</v>
      </c>
      <c r="S27" s="1" t="s">
        <v>21</v>
      </c>
      <c r="U27" s="1">
        <f t="shared" si="7"/>
        <v>0.1966276079</v>
      </c>
      <c r="V27" s="1">
        <f t="shared" si="8"/>
        <v>0.7609220156</v>
      </c>
    </row>
    <row r="28" ht="14.25" customHeight="1">
      <c r="A28" s="1" t="s">
        <v>17</v>
      </c>
      <c r="B28" s="1" t="s">
        <v>57</v>
      </c>
      <c r="D28" s="6">
        <v>45825.0</v>
      </c>
      <c r="E28" s="1" t="s">
        <v>33</v>
      </c>
      <c r="H28" s="7">
        <v>117.89</v>
      </c>
      <c r="I28" s="7">
        <v>4.735</v>
      </c>
      <c r="J28" s="7">
        <v>0.511</v>
      </c>
      <c r="K28" s="7">
        <v>36.619</v>
      </c>
      <c r="L28" s="7">
        <v>1.5230000000000001</v>
      </c>
      <c r="M28" s="8">
        <f t="shared" si="5"/>
        <v>40.3735</v>
      </c>
      <c r="N28" s="7">
        <v>158.2635</v>
      </c>
      <c r="O28" s="10">
        <f t="shared" si="6"/>
        <v>103.9156271</v>
      </c>
      <c r="R28" s="1" t="s">
        <v>20</v>
      </c>
      <c r="S28" s="1" t="s">
        <v>21</v>
      </c>
      <c r="U28" s="1">
        <f t="shared" si="7"/>
        <v>0.3355219961</v>
      </c>
      <c r="V28" s="1">
        <f t="shared" si="8"/>
        <v>0.7748154186</v>
      </c>
    </row>
    <row r="29" ht="14.25" customHeight="1">
      <c r="A29" s="1" t="s">
        <v>17</v>
      </c>
      <c r="B29" s="1" t="s">
        <v>58</v>
      </c>
      <c r="D29" s="6">
        <v>45825.0</v>
      </c>
      <c r="E29" s="1" t="s">
        <v>35</v>
      </c>
      <c r="H29" s="7">
        <v>127.28999999999999</v>
      </c>
      <c r="I29" s="7">
        <v>9.31</v>
      </c>
      <c r="J29" s="7">
        <v>0.622</v>
      </c>
      <c r="K29" s="7">
        <v>57.353</v>
      </c>
      <c r="L29" s="7">
        <v>1.6364999999999998</v>
      </c>
      <c r="M29" s="8">
        <f t="shared" si="5"/>
        <v>39.171</v>
      </c>
      <c r="N29" s="7">
        <v>166.461</v>
      </c>
      <c r="O29" s="10">
        <f t="shared" si="6"/>
        <v>101.7176902</v>
      </c>
      <c r="R29" s="1" t="s">
        <v>20</v>
      </c>
      <c r="S29" s="1" t="s">
        <v>21</v>
      </c>
      <c r="U29" s="1">
        <f t="shared" si="7"/>
        <v>0.3800794378</v>
      </c>
      <c r="V29" s="1">
        <f t="shared" si="8"/>
        <v>0.820612636</v>
      </c>
    </row>
    <row r="30" ht="14.25" customHeight="1">
      <c r="A30" s="1" t="s">
        <v>17</v>
      </c>
      <c r="B30" s="1" t="s">
        <v>59</v>
      </c>
      <c r="D30" s="6">
        <v>45825.0</v>
      </c>
      <c r="E30" s="1" t="s">
        <v>37</v>
      </c>
      <c r="H30" s="7">
        <v>65.489</v>
      </c>
      <c r="I30" s="7">
        <v>1.864</v>
      </c>
      <c r="J30" s="7">
        <v>0.082</v>
      </c>
      <c r="K30" s="7">
        <v>77.591</v>
      </c>
      <c r="L30" s="7">
        <v>1.69</v>
      </c>
      <c r="M30" s="8">
        <f t="shared" si="5"/>
        <v>45.774</v>
      </c>
      <c r="N30" s="7">
        <v>111.263</v>
      </c>
      <c r="O30" s="10">
        <f t="shared" si="6"/>
        <v>65.83609467</v>
      </c>
      <c r="R30" s="1" t="s">
        <v>20</v>
      </c>
      <c r="S30" s="1" t="s">
        <v>21</v>
      </c>
      <c r="U30" s="1">
        <f t="shared" si="7"/>
        <v>0.04852071006</v>
      </c>
      <c r="V30" s="1">
        <f t="shared" si="8"/>
        <v>0.6053494873</v>
      </c>
    </row>
    <row r="31" ht="14.25" customHeight="1">
      <c r="A31" s="1" t="s">
        <v>17</v>
      </c>
      <c r="B31" s="1" t="s">
        <v>60</v>
      </c>
      <c r="D31" s="6">
        <v>45825.0</v>
      </c>
      <c r="E31" s="1" t="s">
        <v>39</v>
      </c>
      <c r="H31" s="7">
        <v>84.505</v>
      </c>
      <c r="I31" s="7">
        <v>5.824</v>
      </c>
      <c r="J31" s="7">
        <v>0.371</v>
      </c>
      <c r="K31" s="7">
        <v>43.397</v>
      </c>
      <c r="L31" s="19">
        <v>1.2485</v>
      </c>
      <c r="M31" s="8">
        <f t="shared" si="5"/>
        <v>32.936</v>
      </c>
      <c r="N31" s="7">
        <v>117.441</v>
      </c>
      <c r="O31" s="10">
        <f t="shared" si="6"/>
        <v>94.06567881</v>
      </c>
      <c r="R31" s="1" t="s">
        <v>20</v>
      </c>
      <c r="S31" s="1" t="s">
        <v>21</v>
      </c>
      <c r="U31" s="1">
        <f t="shared" si="7"/>
        <v>0.2971565879</v>
      </c>
      <c r="V31" s="1">
        <f t="shared" si="8"/>
        <v>0.7691436551</v>
      </c>
    </row>
    <row r="32" ht="14.25" customHeight="1">
      <c r="A32" s="1" t="s">
        <v>17</v>
      </c>
      <c r="B32" s="1" t="s">
        <v>61</v>
      </c>
      <c r="D32" s="6">
        <v>45832.0</v>
      </c>
      <c r="E32" s="1" t="s">
        <v>19</v>
      </c>
      <c r="H32" s="7">
        <v>655.8799999999999</v>
      </c>
      <c r="I32" s="7">
        <v>10.168</v>
      </c>
      <c r="J32" s="7">
        <v>2.412</v>
      </c>
      <c r="K32" s="7">
        <v>153.326</v>
      </c>
      <c r="L32" s="7">
        <v>6.8285</v>
      </c>
      <c r="M32" s="8">
        <f t="shared" si="5"/>
        <v>84.515</v>
      </c>
      <c r="N32" s="7">
        <v>740.395</v>
      </c>
      <c r="O32" s="10">
        <f t="shared" si="6"/>
        <v>108.4271802</v>
      </c>
      <c r="R32" s="1" t="s">
        <v>20</v>
      </c>
      <c r="S32" s="1" t="s">
        <v>62</v>
      </c>
      <c r="U32" s="1">
        <f t="shared" si="7"/>
        <v>0.3532254521</v>
      </c>
      <c r="V32" s="1">
        <f t="shared" si="8"/>
        <v>0.8995846811</v>
      </c>
    </row>
    <row r="33" ht="14.25" customHeight="1">
      <c r="A33" s="1" t="s">
        <v>17</v>
      </c>
      <c r="B33" s="1" t="s">
        <v>63</v>
      </c>
      <c r="D33" s="6">
        <v>45832.0</v>
      </c>
      <c r="E33" s="1" t="s">
        <v>23</v>
      </c>
      <c r="H33" s="7">
        <v>411.75</v>
      </c>
      <c r="I33" s="7">
        <v>7.218</v>
      </c>
      <c r="J33" s="7">
        <v>0.898</v>
      </c>
      <c r="K33" s="7">
        <v>67.549</v>
      </c>
      <c r="L33" s="7">
        <v>3.957</v>
      </c>
      <c r="M33" s="8">
        <f t="shared" si="5"/>
        <v>69.675</v>
      </c>
      <c r="N33" s="7">
        <v>481.42499999999995</v>
      </c>
      <c r="O33" s="10">
        <f t="shared" si="6"/>
        <v>121.6641395</v>
      </c>
      <c r="R33" s="1" t="s">
        <v>20</v>
      </c>
      <c r="S33" s="1" t="s">
        <v>62</v>
      </c>
      <c r="U33" s="1">
        <f t="shared" si="7"/>
        <v>0.2269396007</v>
      </c>
      <c r="V33" s="1">
        <f t="shared" si="8"/>
        <v>0.8702663966</v>
      </c>
    </row>
    <row r="34" ht="14.25" customHeight="1">
      <c r="A34" s="1" t="s">
        <v>17</v>
      </c>
      <c r="B34" s="1" t="s">
        <v>64</v>
      </c>
      <c r="D34" s="6">
        <v>45832.0</v>
      </c>
      <c r="E34" s="1" t="s">
        <v>25</v>
      </c>
      <c r="H34" s="7">
        <v>172.85</v>
      </c>
      <c r="I34" s="7">
        <v>1.573</v>
      </c>
      <c r="J34" s="7">
        <v>0.049</v>
      </c>
      <c r="K34" s="7">
        <v>21.749</v>
      </c>
      <c r="L34" s="7">
        <v>2.444</v>
      </c>
      <c r="M34" s="8">
        <f t="shared" si="5"/>
        <v>67.307</v>
      </c>
      <c r="N34" s="7">
        <v>240.157</v>
      </c>
      <c r="O34" s="10">
        <f t="shared" si="6"/>
        <v>98.26391162</v>
      </c>
      <c r="R34" s="1" t="s">
        <v>20</v>
      </c>
      <c r="S34" s="1" t="s">
        <v>62</v>
      </c>
      <c r="U34" s="1">
        <f t="shared" si="7"/>
        <v>0.02004909984</v>
      </c>
      <c r="V34" s="1">
        <f t="shared" si="8"/>
        <v>0.726287387</v>
      </c>
    </row>
    <row r="35" ht="14.25" customHeight="1">
      <c r="A35" s="1" t="s">
        <v>17</v>
      </c>
      <c r="B35" s="1" t="s">
        <v>65</v>
      </c>
      <c r="D35" s="6">
        <v>45832.0</v>
      </c>
      <c r="E35" s="1" t="s">
        <v>27</v>
      </c>
      <c r="H35" s="7">
        <v>147.85</v>
      </c>
      <c r="I35" s="7">
        <v>3.893</v>
      </c>
      <c r="J35" s="7">
        <v>0.237</v>
      </c>
      <c r="K35" s="7">
        <v>21.094</v>
      </c>
      <c r="L35" s="7">
        <v>2.612</v>
      </c>
      <c r="M35" s="8">
        <f t="shared" si="5"/>
        <v>64.6435</v>
      </c>
      <c r="N35" s="7">
        <v>212.49349999999998</v>
      </c>
      <c r="O35" s="10">
        <f t="shared" si="6"/>
        <v>81.35279479</v>
      </c>
      <c r="R35" s="1" t="s">
        <v>20</v>
      </c>
      <c r="S35" s="1" t="s">
        <v>62</v>
      </c>
      <c r="U35" s="1">
        <f t="shared" si="7"/>
        <v>0.09073506891</v>
      </c>
      <c r="V35" s="1">
        <f t="shared" si="8"/>
        <v>0.7141065491</v>
      </c>
    </row>
    <row r="36" ht="14.25" customHeight="1">
      <c r="A36" s="1" t="s">
        <v>17</v>
      </c>
      <c r="B36" s="1" t="s">
        <v>66</v>
      </c>
      <c r="D36" s="6">
        <v>45832.0</v>
      </c>
      <c r="E36" s="1" t="s">
        <v>29</v>
      </c>
      <c r="H36" s="7">
        <v>119.75</v>
      </c>
      <c r="I36" s="7">
        <v>1.978</v>
      </c>
      <c r="J36" s="7">
        <v>0.024</v>
      </c>
      <c r="K36" s="7">
        <v>29.995</v>
      </c>
      <c r="L36" s="7">
        <v>1.5234999999999999</v>
      </c>
      <c r="M36" s="8">
        <f t="shared" si="5"/>
        <v>46.511</v>
      </c>
      <c r="N36" s="7">
        <v>166.261</v>
      </c>
      <c r="O36" s="10">
        <f t="shared" si="6"/>
        <v>109.1309485</v>
      </c>
      <c r="R36" s="1" t="s">
        <v>20</v>
      </c>
      <c r="S36" s="1" t="s">
        <v>62</v>
      </c>
      <c r="U36" s="1">
        <f t="shared" si="7"/>
        <v>0.01575319987</v>
      </c>
      <c r="V36" s="1">
        <f t="shared" si="8"/>
        <v>0.7321500532</v>
      </c>
    </row>
    <row r="37" ht="14.25" customHeight="1">
      <c r="A37" s="1" t="s">
        <v>17</v>
      </c>
      <c r="B37" s="1" t="s">
        <v>67</v>
      </c>
      <c r="D37" s="6">
        <v>45832.0</v>
      </c>
      <c r="E37" s="1" t="s">
        <v>31</v>
      </c>
      <c r="H37" s="7">
        <v>107.536</v>
      </c>
      <c r="I37" s="7">
        <v>2.238</v>
      </c>
      <c r="J37" s="7">
        <v>0.074</v>
      </c>
      <c r="K37" s="7">
        <v>22.837</v>
      </c>
      <c r="L37" s="7">
        <v>1.443</v>
      </c>
      <c r="M37" s="8">
        <f t="shared" si="5"/>
        <v>46.348</v>
      </c>
      <c r="N37" s="7">
        <v>153.88400000000001</v>
      </c>
      <c r="O37" s="10">
        <f t="shared" si="6"/>
        <v>106.6417186</v>
      </c>
      <c r="R37" s="1" t="s">
        <v>20</v>
      </c>
      <c r="S37" s="1" t="s">
        <v>62</v>
      </c>
      <c r="U37" s="1">
        <f t="shared" si="7"/>
        <v>0.05128205128</v>
      </c>
      <c r="V37" s="1">
        <f t="shared" si="8"/>
        <v>0.7133555145</v>
      </c>
    </row>
    <row r="38" ht="14.25" customHeight="1">
      <c r="A38" s="1" t="s">
        <v>17</v>
      </c>
      <c r="B38" s="1" t="s">
        <v>68</v>
      </c>
      <c r="D38" s="6">
        <v>45832.0</v>
      </c>
      <c r="E38" s="1" t="s">
        <v>33</v>
      </c>
      <c r="H38" s="7">
        <v>106.31</v>
      </c>
      <c r="I38" s="7">
        <v>7.33</v>
      </c>
      <c r="J38" s="7">
        <v>0.042</v>
      </c>
      <c r="K38" s="7">
        <v>16.482</v>
      </c>
      <c r="L38" s="7">
        <v>1.2085</v>
      </c>
      <c r="M38" s="8">
        <f t="shared" si="5"/>
        <v>44.065</v>
      </c>
      <c r="N38" s="7">
        <v>150.375</v>
      </c>
      <c r="O38" s="10">
        <f t="shared" si="6"/>
        <v>124.4311129</v>
      </c>
      <c r="R38" s="1" t="s">
        <v>20</v>
      </c>
      <c r="S38" s="1" t="s">
        <v>62</v>
      </c>
      <c r="U38" s="1">
        <f t="shared" si="7"/>
        <v>0.03475382706</v>
      </c>
      <c r="V38" s="1">
        <f t="shared" si="8"/>
        <v>0.7557107232</v>
      </c>
    </row>
    <row r="39" ht="14.25" customHeight="1">
      <c r="A39" s="1" t="s">
        <v>17</v>
      </c>
      <c r="B39" s="1" t="s">
        <v>69</v>
      </c>
      <c r="D39" s="6">
        <v>45832.0</v>
      </c>
      <c r="E39" s="1" t="s">
        <v>35</v>
      </c>
      <c r="H39" s="7">
        <v>105.351</v>
      </c>
      <c r="I39" s="7">
        <v>2.0</v>
      </c>
      <c r="J39" s="7">
        <v>0.076</v>
      </c>
      <c r="K39" s="7">
        <v>20.603</v>
      </c>
      <c r="L39" s="7">
        <v>2.0004999999999997</v>
      </c>
      <c r="M39" s="8">
        <f t="shared" si="5"/>
        <v>61.899</v>
      </c>
      <c r="N39" s="7">
        <v>167.25</v>
      </c>
      <c r="O39" s="10">
        <f t="shared" si="6"/>
        <v>83.60409898</v>
      </c>
      <c r="R39" s="1" t="s">
        <v>20</v>
      </c>
      <c r="S39" s="1" t="s">
        <v>62</v>
      </c>
      <c r="U39" s="1">
        <f t="shared" si="7"/>
        <v>0.03799050237</v>
      </c>
      <c r="V39" s="1">
        <f t="shared" si="8"/>
        <v>0.6418594918</v>
      </c>
    </row>
    <row r="40" ht="14.25" customHeight="1">
      <c r="A40" s="1" t="s">
        <v>17</v>
      </c>
      <c r="B40" s="1" t="s">
        <v>70</v>
      </c>
      <c r="D40" s="6">
        <v>45832.0</v>
      </c>
      <c r="E40" s="1" t="s">
        <v>37</v>
      </c>
      <c r="H40" s="7">
        <v>82.146</v>
      </c>
      <c r="I40" s="7">
        <v>4.574</v>
      </c>
      <c r="J40" s="7">
        <v>0.026</v>
      </c>
      <c r="K40" s="7">
        <v>41.862</v>
      </c>
      <c r="L40" s="7">
        <v>1.978</v>
      </c>
      <c r="M40" s="8">
        <f t="shared" si="5"/>
        <v>54.136</v>
      </c>
      <c r="N40" s="7">
        <v>136.28199999999998</v>
      </c>
      <c r="O40" s="10">
        <f t="shared" si="6"/>
        <v>68.89888777</v>
      </c>
      <c r="R40" s="1" t="s">
        <v>20</v>
      </c>
      <c r="S40" s="1" t="s">
        <v>62</v>
      </c>
      <c r="U40" s="1">
        <f t="shared" si="7"/>
        <v>0.0131445905</v>
      </c>
      <c r="V40" s="1">
        <f t="shared" si="8"/>
        <v>0.6363276148</v>
      </c>
    </row>
    <row r="41" ht="14.25" customHeight="1">
      <c r="A41" s="1" t="s">
        <v>17</v>
      </c>
      <c r="B41" s="1" t="s">
        <v>71</v>
      </c>
      <c r="D41" s="6">
        <v>45832.0</v>
      </c>
      <c r="E41" s="1" t="s">
        <v>39</v>
      </c>
      <c r="H41" s="7">
        <v>70.568</v>
      </c>
      <c r="I41" s="7">
        <v>3.083</v>
      </c>
      <c r="J41" s="7">
        <v>0.005</v>
      </c>
      <c r="K41" s="7">
        <v>20.593</v>
      </c>
      <c r="L41" s="7">
        <v>0.606</v>
      </c>
      <c r="M41" s="8">
        <f t="shared" si="5"/>
        <v>21.191</v>
      </c>
      <c r="N41" s="7">
        <v>91.759</v>
      </c>
      <c r="O41" s="10">
        <f t="shared" si="6"/>
        <v>151.4174917</v>
      </c>
      <c r="R41" s="1" t="s">
        <v>20</v>
      </c>
      <c r="S41" s="1" t="s">
        <v>62</v>
      </c>
      <c r="U41" s="1">
        <f t="shared" si="7"/>
        <v>0.008250825083</v>
      </c>
      <c r="V41" s="1">
        <f t="shared" si="8"/>
        <v>0.8026569601</v>
      </c>
    </row>
    <row r="42" ht="14.25" customHeight="1">
      <c r="A42" s="1" t="s">
        <v>17</v>
      </c>
      <c r="B42" s="1" t="s">
        <v>72</v>
      </c>
      <c r="D42" s="6">
        <v>45839.0</v>
      </c>
      <c r="E42" s="1" t="s">
        <v>19</v>
      </c>
      <c r="H42" s="7">
        <v>489.85</v>
      </c>
      <c r="I42" s="7">
        <v>17.038</v>
      </c>
      <c r="J42" s="7">
        <v>1.568</v>
      </c>
      <c r="K42" s="7">
        <v>105.806</v>
      </c>
      <c r="L42" s="7">
        <v>4.781</v>
      </c>
      <c r="M42" s="8">
        <f t="shared" si="5"/>
        <v>102.155</v>
      </c>
      <c r="N42" s="20">
        <v>592.005</v>
      </c>
      <c r="O42" s="10">
        <f t="shared" si="6"/>
        <v>123.8245137</v>
      </c>
      <c r="R42" s="1" t="s">
        <v>20</v>
      </c>
      <c r="S42" s="1" t="s">
        <v>62</v>
      </c>
      <c r="U42" s="1">
        <f t="shared" si="7"/>
        <v>0.3279648609</v>
      </c>
      <c r="V42" s="1">
        <f t="shared" si="8"/>
        <v>0.8562224981</v>
      </c>
    </row>
    <row r="43" ht="14.25" customHeight="1">
      <c r="A43" s="1" t="s">
        <v>17</v>
      </c>
      <c r="B43" s="1" t="s">
        <v>73</v>
      </c>
      <c r="D43" s="6">
        <v>45839.0</v>
      </c>
      <c r="E43" s="1" t="s">
        <v>23</v>
      </c>
      <c r="H43" s="7">
        <v>334.34</v>
      </c>
      <c r="I43" s="7">
        <v>4.635</v>
      </c>
      <c r="J43" s="7">
        <v>0.26</v>
      </c>
      <c r="K43" s="7">
        <v>11.442</v>
      </c>
      <c r="L43" s="7">
        <v>3.4684999999999997</v>
      </c>
      <c r="M43" s="8">
        <f t="shared" si="5"/>
        <v>74.094</v>
      </c>
      <c r="N43" s="7">
        <v>408.43399999999997</v>
      </c>
      <c r="O43" s="10">
        <f t="shared" si="6"/>
        <v>117.7552256</v>
      </c>
      <c r="R43" s="1" t="s">
        <v>20</v>
      </c>
      <c r="S43" s="1" t="s">
        <v>62</v>
      </c>
      <c r="U43" s="1">
        <f t="shared" si="7"/>
        <v>0.0749603575</v>
      </c>
      <c r="V43" s="1">
        <f t="shared" si="8"/>
        <v>0.829938252</v>
      </c>
    </row>
    <row r="44" ht="14.25" customHeight="1">
      <c r="A44" s="1" t="s">
        <v>17</v>
      </c>
      <c r="B44" s="1" t="s">
        <v>74</v>
      </c>
      <c r="D44" s="6">
        <v>45839.0</v>
      </c>
      <c r="E44" s="1" t="s">
        <v>25</v>
      </c>
      <c r="H44" s="7">
        <v>104.554</v>
      </c>
      <c r="I44" s="7">
        <v>3.544</v>
      </c>
      <c r="J44" s="7">
        <v>0.168</v>
      </c>
      <c r="K44" s="7">
        <v>11.447</v>
      </c>
      <c r="L44" s="7">
        <v>2.8155</v>
      </c>
      <c r="M44" s="8">
        <f t="shared" si="5"/>
        <v>77.958</v>
      </c>
      <c r="N44" s="7">
        <v>182.512</v>
      </c>
      <c r="O44" s="10">
        <f t="shared" si="6"/>
        <v>64.82400994</v>
      </c>
      <c r="R44" s="1" t="s">
        <v>20</v>
      </c>
      <c r="S44" s="1" t="s">
        <v>62</v>
      </c>
      <c r="U44" s="1">
        <f t="shared" si="7"/>
        <v>0.05966968567</v>
      </c>
      <c r="V44" s="1">
        <f t="shared" si="8"/>
        <v>0.5922788639</v>
      </c>
    </row>
    <row r="45" ht="14.25" customHeight="1">
      <c r="A45" s="1" t="s">
        <v>17</v>
      </c>
      <c r="B45" s="1" t="s">
        <v>75</v>
      </c>
      <c r="D45" s="6">
        <v>45839.0</v>
      </c>
      <c r="E45" s="1" t="s">
        <v>27</v>
      </c>
      <c r="H45" s="7">
        <v>200.24</v>
      </c>
      <c r="I45" s="7">
        <v>4.678</v>
      </c>
      <c r="J45" s="7">
        <v>0.164</v>
      </c>
      <c r="K45" s="7">
        <v>8.029</v>
      </c>
      <c r="L45" s="7">
        <v>3.512</v>
      </c>
      <c r="M45" s="8">
        <f t="shared" si="5"/>
        <v>81.6475</v>
      </c>
      <c r="N45" s="7">
        <v>281.8875</v>
      </c>
      <c r="O45" s="10">
        <f t="shared" si="6"/>
        <v>80.26409453</v>
      </c>
      <c r="R45" s="1" t="s">
        <v>20</v>
      </c>
      <c r="S45" s="1" t="s">
        <v>62</v>
      </c>
      <c r="U45" s="1">
        <f t="shared" si="7"/>
        <v>0.04669703872</v>
      </c>
      <c r="V45" s="1">
        <f t="shared" si="8"/>
        <v>0.7269495809</v>
      </c>
    </row>
    <row r="46" ht="14.25" customHeight="1">
      <c r="A46" s="1" t="s">
        <v>17</v>
      </c>
      <c r="B46" s="1" t="s">
        <v>76</v>
      </c>
      <c r="D46" s="6">
        <v>45839.0</v>
      </c>
      <c r="E46" s="1" t="s">
        <v>29</v>
      </c>
      <c r="H46" s="7">
        <v>62.37</v>
      </c>
      <c r="I46" s="7">
        <v>2.916</v>
      </c>
      <c r="J46" s="7">
        <v>0.139</v>
      </c>
      <c r="K46" s="7">
        <v>7.961</v>
      </c>
      <c r="L46" s="7">
        <v>1.8639999999999999</v>
      </c>
      <c r="M46" s="8">
        <f t="shared" si="5"/>
        <v>59.9355</v>
      </c>
      <c r="N46" s="7">
        <v>122.3055</v>
      </c>
      <c r="O46" s="10">
        <f t="shared" si="6"/>
        <v>65.61453863</v>
      </c>
      <c r="R46" s="1" t="s">
        <v>20</v>
      </c>
      <c r="S46" s="1" t="s">
        <v>62</v>
      </c>
      <c r="U46" s="1">
        <f t="shared" si="7"/>
        <v>0.07457081545</v>
      </c>
      <c r="V46" s="1">
        <f t="shared" si="8"/>
        <v>0.5337944737</v>
      </c>
    </row>
    <row r="47" ht="14.25" customHeight="1">
      <c r="A47" s="1" t="s">
        <v>17</v>
      </c>
      <c r="B47" s="1" t="s">
        <v>77</v>
      </c>
      <c r="D47" s="6">
        <v>45839.0</v>
      </c>
      <c r="E47" s="1" t="s">
        <v>31</v>
      </c>
      <c r="H47" s="7">
        <v>57.652</v>
      </c>
      <c r="I47" s="7">
        <v>1.931</v>
      </c>
      <c r="J47" s="7">
        <v>0.0</v>
      </c>
      <c r="K47" s="7">
        <v>11.668</v>
      </c>
      <c r="L47" s="7">
        <v>2.0615</v>
      </c>
      <c r="M47" s="8">
        <f t="shared" si="5"/>
        <v>66.03</v>
      </c>
      <c r="N47" s="7">
        <v>123.682</v>
      </c>
      <c r="O47" s="10">
        <f t="shared" si="6"/>
        <v>59.99611933</v>
      </c>
      <c r="R47" s="1" t="s">
        <v>20</v>
      </c>
      <c r="S47" s="1" t="s">
        <v>62</v>
      </c>
      <c r="U47" s="1">
        <f t="shared" si="7"/>
        <v>0</v>
      </c>
      <c r="V47" s="1">
        <f t="shared" si="8"/>
        <v>0.4817435035</v>
      </c>
    </row>
    <row r="48" ht="14.25" customHeight="1">
      <c r="A48" s="1" t="s">
        <v>17</v>
      </c>
      <c r="B48" s="1" t="s">
        <v>78</v>
      </c>
      <c r="D48" s="6">
        <v>45839.0</v>
      </c>
      <c r="E48" s="1" t="s">
        <v>33</v>
      </c>
      <c r="H48" s="7">
        <v>59.046</v>
      </c>
      <c r="I48" s="7">
        <v>1.965</v>
      </c>
      <c r="J48" s="7">
        <v>0.049</v>
      </c>
      <c r="K48" s="7">
        <v>14.72</v>
      </c>
      <c r="L48" s="7">
        <v>2.15</v>
      </c>
      <c r="M48" s="8">
        <f t="shared" si="5"/>
        <v>63.041</v>
      </c>
      <c r="N48" s="7">
        <v>122.087</v>
      </c>
      <c r="O48" s="10">
        <f t="shared" si="6"/>
        <v>56.78465116</v>
      </c>
      <c r="R48" s="1" t="s">
        <v>20</v>
      </c>
      <c r="S48" s="1" t="s">
        <v>62</v>
      </c>
      <c r="U48" s="1">
        <f t="shared" si="7"/>
        <v>0.02279069767</v>
      </c>
      <c r="V48" s="1">
        <f t="shared" si="8"/>
        <v>0.4997337964</v>
      </c>
    </row>
    <row r="49" ht="14.25" customHeight="1">
      <c r="A49" s="1" t="s">
        <v>17</v>
      </c>
      <c r="B49" s="1" t="s">
        <v>79</v>
      </c>
      <c r="D49" s="6">
        <v>45839.0</v>
      </c>
      <c r="E49" s="1" t="s">
        <v>35</v>
      </c>
      <c r="H49" s="7">
        <v>66.385</v>
      </c>
      <c r="I49" s="7">
        <v>11.67</v>
      </c>
      <c r="J49" s="7">
        <v>0.04</v>
      </c>
      <c r="K49" s="7">
        <v>14.422</v>
      </c>
      <c r="L49" s="7">
        <v>2.2575000000000003</v>
      </c>
      <c r="M49" s="8">
        <f t="shared" si="5"/>
        <v>65.406</v>
      </c>
      <c r="N49" s="7">
        <v>131.791</v>
      </c>
      <c r="O49" s="10">
        <f t="shared" si="6"/>
        <v>58.37918051</v>
      </c>
      <c r="R49" s="1" t="s">
        <v>20</v>
      </c>
      <c r="S49" s="1" t="s">
        <v>62</v>
      </c>
      <c r="U49" s="1">
        <f t="shared" si="7"/>
        <v>0.01771871539</v>
      </c>
      <c r="V49" s="1">
        <f t="shared" si="8"/>
        <v>0.5922635081</v>
      </c>
    </row>
    <row r="50" ht="14.25" customHeight="1">
      <c r="A50" s="1" t="s">
        <v>17</v>
      </c>
      <c r="B50" s="1" t="s">
        <v>80</v>
      </c>
      <c r="D50" s="6">
        <v>45839.0</v>
      </c>
      <c r="E50" s="1" t="s">
        <v>37</v>
      </c>
      <c r="H50" s="7">
        <v>30.724</v>
      </c>
      <c r="I50" s="7">
        <v>1.505</v>
      </c>
      <c r="J50" s="7">
        <v>0.031</v>
      </c>
      <c r="K50" s="7">
        <v>32.97</v>
      </c>
      <c r="L50" s="7">
        <v>1.7685</v>
      </c>
      <c r="M50" s="8">
        <f t="shared" si="5"/>
        <v>51.145</v>
      </c>
      <c r="N50" s="7">
        <v>81.869</v>
      </c>
      <c r="O50" s="10">
        <f t="shared" si="6"/>
        <v>46.29290359</v>
      </c>
      <c r="R50" s="1" t="s">
        <v>20</v>
      </c>
      <c r="S50" s="1" t="s">
        <v>62</v>
      </c>
      <c r="U50" s="1">
        <f t="shared" si="7"/>
        <v>0.01752897936</v>
      </c>
      <c r="V50" s="1">
        <f t="shared" si="8"/>
        <v>0.39366549</v>
      </c>
    </row>
    <row r="51" ht="14.25" customHeight="1">
      <c r="A51" s="1" t="s">
        <v>17</v>
      </c>
      <c r="B51" s="1" t="s">
        <v>81</v>
      </c>
      <c r="D51" s="6">
        <v>45839.0</v>
      </c>
      <c r="E51" s="1" t="s">
        <v>39</v>
      </c>
      <c r="H51" s="7">
        <v>56.749</v>
      </c>
      <c r="I51" s="7">
        <v>2.061</v>
      </c>
      <c r="J51" s="7">
        <v>0.025</v>
      </c>
      <c r="K51" s="7">
        <v>18.605</v>
      </c>
      <c r="L51" s="7">
        <v>0.515</v>
      </c>
      <c r="M51" s="8">
        <f t="shared" si="5"/>
        <v>18.617</v>
      </c>
      <c r="N51" s="7">
        <v>75.366</v>
      </c>
      <c r="O51" s="10">
        <f t="shared" si="6"/>
        <v>146.3417476</v>
      </c>
      <c r="R51" s="1" t="s">
        <v>20</v>
      </c>
      <c r="S51" s="1" t="s">
        <v>62</v>
      </c>
      <c r="U51" s="1">
        <f t="shared" si="7"/>
        <v>0.04854368932</v>
      </c>
      <c r="V51" s="1">
        <f t="shared" si="8"/>
        <v>0.7803253456</v>
      </c>
    </row>
    <row r="52" ht="14.25" customHeight="1">
      <c r="A52" s="1" t="s">
        <v>17</v>
      </c>
      <c r="B52" s="1" t="s">
        <v>82</v>
      </c>
      <c r="D52" s="6">
        <v>45846.0</v>
      </c>
      <c r="E52" s="1" t="s">
        <v>19</v>
      </c>
      <c r="H52" s="7">
        <v>257.97</v>
      </c>
      <c r="I52" s="7">
        <v>6.485</v>
      </c>
      <c r="J52" s="7">
        <v>0.644</v>
      </c>
      <c r="K52" s="7">
        <v>50.32</v>
      </c>
      <c r="L52" s="7">
        <v>5.0504999999999995</v>
      </c>
      <c r="M52" s="8">
        <f t="shared" si="5"/>
        <v>81.8115</v>
      </c>
      <c r="N52" s="7">
        <v>339.7815</v>
      </c>
      <c r="O52" s="10">
        <f t="shared" si="6"/>
        <v>67.27680428</v>
      </c>
      <c r="R52" s="1" t="s">
        <v>20</v>
      </c>
      <c r="S52" s="1" t="s">
        <v>62</v>
      </c>
      <c r="U52" s="1">
        <f t="shared" si="7"/>
        <v>0.1275121275</v>
      </c>
      <c r="V52" s="1">
        <f t="shared" si="8"/>
        <v>0.7783090015</v>
      </c>
    </row>
    <row r="53" ht="14.25" customHeight="1">
      <c r="A53" s="1" t="s">
        <v>17</v>
      </c>
      <c r="B53" s="1" t="s">
        <v>83</v>
      </c>
      <c r="D53" s="6">
        <v>45846.0</v>
      </c>
      <c r="E53" s="1" t="s">
        <v>23</v>
      </c>
      <c r="H53" s="7">
        <v>189.37</v>
      </c>
      <c r="I53" s="7">
        <v>1.522</v>
      </c>
      <c r="J53" s="7">
        <v>0.101</v>
      </c>
      <c r="K53" s="7">
        <v>15.134</v>
      </c>
      <c r="L53" s="7">
        <v>4.067</v>
      </c>
      <c r="M53" s="8">
        <f t="shared" si="5"/>
        <v>97.6195</v>
      </c>
      <c r="N53" s="7">
        <v>286.9895</v>
      </c>
      <c r="O53" s="10">
        <f t="shared" si="6"/>
        <v>70.56540448</v>
      </c>
      <c r="R53" s="1" t="s">
        <v>20</v>
      </c>
      <c r="S53" s="1" t="s">
        <v>62</v>
      </c>
      <c r="U53" s="1">
        <f t="shared" si="7"/>
        <v>0.02483403</v>
      </c>
      <c r="V53" s="1">
        <f t="shared" si="8"/>
        <v>0.6651532547</v>
      </c>
    </row>
    <row r="54" ht="14.25" customHeight="1">
      <c r="A54" s="1" t="s">
        <v>17</v>
      </c>
      <c r="B54" s="1" t="s">
        <v>84</v>
      </c>
      <c r="D54" s="6">
        <v>45846.0</v>
      </c>
      <c r="E54" s="1" t="s">
        <v>25</v>
      </c>
      <c r="H54" s="7">
        <v>47.661</v>
      </c>
      <c r="I54" s="7">
        <v>3.18</v>
      </c>
      <c r="J54" s="7">
        <v>0.096</v>
      </c>
      <c r="K54" s="7">
        <v>21.888</v>
      </c>
      <c r="L54" s="7">
        <v>3.61</v>
      </c>
      <c r="M54" s="8">
        <f t="shared" si="5"/>
        <v>119.8085</v>
      </c>
      <c r="N54" s="7">
        <v>167.4695</v>
      </c>
      <c r="O54" s="10">
        <f t="shared" si="6"/>
        <v>46.39044321</v>
      </c>
      <c r="R54" s="1" t="s">
        <v>20</v>
      </c>
      <c r="S54" s="1" t="s">
        <v>62</v>
      </c>
      <c r="U54" s="1">
        <f t="shared" si="7"/>
        <v>0.02659279778</v>
      </c>
      <c r="V54" s="1">
        <f t="shared" si="8"/>
        <v>0.3035836376</v>
      </c>
    </row>
    <row r="55" ht="14.25" customHeight="1">
      <c r="A55" s="1" t="s">
        <v>17</v>
      </c>
      <c r="B55" s="1" t="s">
        <v>85</v>
      </c>
      <c r="D55" s="6">
        <v>45846.0</v>
      </c>
      <c r="E55" s="1" t="s">
        <v>27</v>
      </c>
      <c r="H55" s="7">
        <v>30.761</v>
      </c>
      <c r="I55" s="7">
        <v>3.496</v>
      </c>
      <c r="J55" s="7">
        <v>0.043</v>
      </c>
      <c r="K55" s="7">
        <v>28.156</v>
      </c>
      <c r="L55" s="7">
        <v>4.0785</v>
      </c>
      <c r="M55" s="8">
        <f t="shared" si="5"/>
        <v>106.904</v>
      </c>
      <c r="N55" s="7">
        <v>137.665</v>
      </c>
      <c r="O55" s="10">
        <f t="shared" si="6"/>
        <v>33.75383107</v>
      </c>
      <c r="R55" s="1" t="s">
        <v>20</v>
      </c>
      <c r="S55" s="1" t="s">
        <v>62</v>
      </c>
      <c r="U55" s="1">
        <f t="shared" si="7"/>
        <v>0.01054309182</v>
      </c>
      <c r="V55" s="1">
        <f t="shared" si="8"/>
        <v>0.2488432063</v>
      </c>
    </row>
    <row r="56" ht="14.25" customHeight="1">
      <c r="A56" s="1" t="s">
        <v>17</v>
      </c>
      <c r="B56" s="1" t="s">
        <v>86</v>
      </c>
      <c r="D56" s="6">
        <v>45846.0</v>
      </c>
      <c r="E56" s="1" t="s">
        <v>29</v>
      </c>
      <c r="H56" s="7">
        <v>12.573</v>
      </c>
      <c r="I56" s="7">
        <v>3.949</v>
      </c>
      <c r="J56" s="7">
        <v>0.033</v>
      </c>
      <c r="K56" s="7">
        <v>31.449</v>
      </c>
      <c r="L56" s="7">
        <v>3.2344999999999997</v>
      </c>
      <c r="M56" s="8">
        <f t="shared" si="5"/>
        <v>101.901</v>
      </c>
      <c r="N56" s="7">
        <v>114.474</v>
      </c>
      <c r="O56" s="10">
        <f t="shared" si="6"/>
        <v>35.39155975</v>
      </c>
      <c r="R56" s="1" t="s">
        <v>20</v>
      </c>
      <c r="S56" s="1" t="s">
        <v>62</v>
      </c>
      <c r="U56" s="1">
        <f t="shared" si="7"/>
        <v>0.01020250425</v>
      </c>
      <c r="V56" s="1">
        <f t="shared" si="8"/>
        <v>0.1443297168</v>
      </c>
    </row>
    <row r="57" ht="14.25" customHeight="1">
      <c r="A57" s="1" t="s">
        <v>17</v>
      </c>
      <c r="B57" s="1" t="s">
        <v>87</v>
      </c>
      <c r="D57" s="6">
        <v>45846.0</v>
      </c>
      <c r="E57" s="1" t="s">
        <v>31</v>
      </c>
      <c r="H57" s="7">
        <v>15.405</v>
      </c>
      <c r="I57" s="7">
        <v>6.884</v>
      </c>
      <c r="J57" s="7">
        <v>0.054</v>
      </c>
      <c r="K57" s="7">
        <v>38.294</v>
      </c>
      <c r="L57" s="7">
        <v>2.7755</v>
      </c>
      <c r="M57" s="8">
        <f t="shared" si="5"/>
        <v>89.1215</v>
      </c>
      <c r="N57" s="7">
        <v>104.5265</v>
      </c>
      <c r="O57" s="10">
        <f t="shared" si="6"/>
        <v>37.66042155</v>
      </c>
      <c r="R57" s="1" t="s">
        <v>20</v>
      </c>
      <c r="S57" s="1" t="s">
        <v>62</v>
      </c>
      <c r="U57" s="1">
        <f t="shared" si="7"/>
        <v>0.01945595388</v>
      </c>
      <c r="V57" s="1">
        <f t="shared" si="8"/>
        <v>0.2132377914</v>
      </c>
    </row>
    <row r="58" ht="14.25" customHeight="1">
      <c r="A58" s="1" t="s">
        <v>17</v>
      </c>
      <c r="B58" s="1" t="s">
        <v>88</v>
      </c>
      <c r="D58" s="6">
        <v>45846.0</v>
      </c>
      <c r="E58" s="1" t="s">
        <v>33</v>
      </c>
      <c r="H58" s="7">
        <v>22.203</v>
      </c>
      <c r="I58" s="7">
        <v>3.652</v>
      </c>
      <c r="J58" s="7">
        <v>0.092</v>
      </c>
      <c r="K58" s="7">
        <v>35.676</v>
      </c>
      <c r="L58" s="7">
        <v>2.5315000000000003</v>
      </c>
      <c r="M58" s="8">
        <f t="shared" si="5"/>
        <v>70.8215</v>
      </c>
      <c r="N58" s="7">
        <v>93.0245</v>
      </c>
      <c r="O58" s="10">
        <f t="shared" si="6"/>
        <v>36.74679044</v>
      </c>
      <c r="R58" s="1" t="s">
        <v>20</v>
      </c>
      <c r="S58" s="1" t="s">
        <v>62</v>
      </c>
      <c r="U58" s="1">
        <f t="shared" si="7"/>
        <v>0.03634208967</v>
      </c>
      <c r="V58" s="1">
        <f t="shared" si="8"/>
        <v>0.2779375326</v>
      </c>
    </row>
    <row r="59" ht="14.25" customHeight="1">
      <c r="A59" s="1" t="s">
        <v>17</v>
      </c>
      <c r="B59" s="1" t="s">
        <v>89</v>
      </c>
      <c r="D59" s="6">
        <v>45846.0</v>
      </c>
      <c r="E59" s="1" t="s">
        <v>35</v>
      </c>
      <c r="H59" s="7">
        <v>15.138</v>
      </c>
      <c r="I59" s="7">
        <v>1.965</v>
      </c>
      <c r="J59" s="7">
        <v>0.067</v>
      </c>
      <c r="K59" s="7">
        <v>50.209</v>
      </c>
      <c r="L59" s="7">
        <v>3.0765000000000002</v>
      </c>
      <c r="M59" s="8">
        <f t="shared" si="5"/>
        <v>89.959</v>
      </c>
      <c r="N59" s="7">
        <v>105.09700000000001</v>
      </c>
      <c r="O59" s="10">
        <f t="shared" si="6"/>
        <v>34.16122217</v>
      </c>
      <c r="R59" s="1" t="s">
        <v>20</v>
      </c>
      <c r="S59" s="1" t="s">
        <v>62</v>
      </c>
      <c r="U59" s="1">
        <f t="shared" si="7"/>
        <v>0.02177799447</v>
      </c>
      <c r="V59" s="1">
        <f t="shared" si="8"/>
        <v>0.1627353778</v>
      </c>
    </row>
    <row r="60" ht="14.25" customHeight="1">
      <c r="A60" s="1" t="s">
        <v>17</v>
      </c>
      <c r="B60" s="1" t="s">
        <v>90</v>
      </c>
      <c r="D60" s="6">
        <v>45846.0</v>
      </c>
      <c r="E60" s="1" t="s">
        <v>37</v>
      </c>
      <c r="H60" s="7">
        <v>8.502</v>
      </c>
      <c r="I60" s="7">
        <v>1.975</v>
      </c>
      <c r="J60" s="7">
        <v>0.131</v>
      </c>
      <c r="K60" s="7">
        <v>45.53</v>
      </c>
      <c r="L60" s="7">
        <v>2.2275</v>
      </c>
      <c r="M60" s="8">
        <f t="shared" si="5"/>
        <v>64.8685</v>
      </c>
      <c r="N60" s="7">
        <v>73.37049999999999</v>
      </c>
      <c r="O60" s="10">
        <f t="shared" si="6"/>
        <v>32.93849607</v>
      </c>
      <c r="R60" s="1" t="s">
        <v>20</v>
      </c>
      <c r="S60" s="1" t="s">
        <v>62</v>
      </c>
      <c r="U60" s="1">
        <f t="shared" si="7"/>
        <v>0.05881032548</v>
      </c>
      <c r="V60" s="1">
        <f t="shared" si="8"/>
        <v>0.1427958103</v>
      </c>
    </row>
    <row r="61" ht="14.25" customHeight="1">
      <c r="A61" s="1" t="s">
        <v>17</v>
      </c>
      <c r="B61" s="1" t="s">
        <v>91</v>
      </c>
      <c r="D61" s="6">
        <v>45846.0</v>
      </c>
      <c r="E61" s="1" t="s">
        <v>39</v>
      </c>
      <c r="H61" s="7">
        <v>45.296</v>
      </c>
      <c r="I61" s="7">
        <v>3.522</v>
      </c>
      <c r="J61" s="7">
        <v>0.0</v>
      </c>
      <c r="K61" s="7">
        <v>29.947</v>
      </c>
      <c r="L61" s="7">
        <v>0.4085</v>
      </c>
      <c r="M61" s="8">
        <f t="shared" si="5"/>
        <v>16.803</v>
      </c>
      <c r="N61" s="7">
        <v>62.099000000000004</v>
      </c>
      <c r="O61" s="10">
        <f t="shared" si="6"/>
        <v>152.0171359</v>
      </c>
      <c r="R61" s="1" t="s">
        <v>20</v>
      </c>
      <c r="S61" s="1" t="s">
        <v>62</v>
      </c>
      <c r="U61" s="1">
        <f t="shared" si="7"/>
        <v>0</v>
      </c>
      <c r="V61" s="1">
        <f t="shared" si="8"/>
        <v>0.7861318218</v>
      </c>
    </row>
    <row r="62" ht="14.25" customHeight="1">
      <c r="A62" s="1" t="s">
        <v>17</v>
      </c>
      <c r="B62" s="1" t="s">
        <v>92</v>
      </c>
      <c r="D62" s="6">
        <v>45853.0</v>
      </c>
      <c r="E62" s="1" t="s">
        <v>19</v>
      </c>
      <c r="H62" s="7">
        <v>125.87</v>
      </c>
      <c r="I62" s="7">
        <v>30.722</v>
      </c>
      <c r="J62" s="7">
        <v>0.159</v>
      </c>
      <c r="K62" s="7">
        <v>32.951</v>
      </c>
      <c r="L62" s="7">
        <v>6.0905000000000005</v>
      </c>
      <c r="M62" s="8">
        <f t="shared" si="5"/>
        <v>117.88</v>
      </c>
      <c r="N62" s="7">
        <v>243.75</v>
      </c>
      <c r="O62" s="10">
        <f t="shared" si="6"/>
        <v>40.02134472</v>
      </c>
      <c r="R62" s="1" t="s">
        <v>20</v>
      </c>
      <c r="S62" s="1" t="s">
        <v>62</v>
      </c>
      <c r="U62" s="1">
        <f t="shared" si="7"/>
        <v>0.02610623102</v>
      </c>
      <c r="V62" s="1">
        <f t="shared" si="8"/>
        <v>0.6424287179</v>
      </c>
    </row>
    <row r="63" ht="14.25" customHeight="1">
      <c r="A63" s="1" t="s">
        <v>17</v>
      </c>
      <c r="B63" s="1" t="s">
        <v>93</v>
      </c>
      <c r="D63" s="6">
        <v>45853.0</v>
      </c>
      <c r="E63" s="1" t="s">
        <v>23</v>
      </c>
      <c r="H63" s="7">
        <v>57.552</v>
      </c>
      <c r="I63" s="7">
        <v>6.597</v>
      </c>
      <c r="J63" s="7">
        <v>0.135</v>
      </c>
      <c r="K63" s="7">
        <v>21.493</v>
      </c>
      <c r="L63" s="7">
        <v>5.369</v>
      </c>
      <c r="M63" s="8">
        <f t="shared" si="5"/>
        <v>119.838</v>
      </c>
      <c r="N63" s="7">
        <v>177.39</v>
      </c>
      <c r="O63" s="10">
        <f t="shared" si="6"/>
        <v>33.03967219</v>
      </c>
      <c r="R63" s="1" t="s">
        <v>20</v>
      </c>
      <c r="S63" s="1" t="s">
        <v>62</v>
      </c>
      <c r="U63" s="1">
        <f t="shared" si="7"/>
        <v>0.02514434718</v>
      </c>
      <c r="V63" s="1">
        <f t="shared" si="8"/>
        <v>0.3616269237</v>
      </c>
    </row>
    <row r="64" ht="14.25" customHeight="1">
      <c r="A64" s="1" t="s">
        <v>17</v>
      </c>
      <c r="B64" s="1" t="s">
        <v>94</v>
      </c>
      <c r="D64" s="6">
        <v>45853.0</v>
      </c>
      <c r="E64" s="1" t="s">
        <v>25</v>
      </c>
      <c r="H64" s="7">
        <v>33.538</v>
      </c>
      <c r="I64" s="7">
        <v>2.619</v>
      </c>
      <c r="J64" s="7">
        <v>0.143</v>
      </c>
      <c r="K64" s="7">
        <v>42.579</v>
      </c>
      <c r="L64" s="7">
        <v>4.157500000000001</v>
      </c>
      <c r="M64" s="8">
        <f t="shared" si="5"/>
        <v>123.143</v>
      </c>
      <c r="N64" s="7">
        <v>156.68099999999998</v>
      </c>
      <c r="O64" s="10">
        <f t="shared" si="6"/>
        <v>37.68634997</v>
      </c>
      <c r="R64" s="1" t="s">
        <v>20</v>
      </c>
      <c r="S64" s="1" t="s">
        <v>62</v>
      </c>
      <c r="U64" s="1">
        <f t="shared" si="7"/>
        <v>0.03439567048</v>
      </c>
      <c r="V64" s="1">
        <f t="shared" si="8"/>
        <v>0.2307682489</v>
      </c>
    </row>
    <row r="65" ht="14.25" customHeight="1">
      <c r="A65" s="1" t="s">
        <v>17</v>
      </c>
      <c r="B65" s="1" t="s">
        <v>95</v>
      </c>
      <c r="D65" s="6">
        <v>45853.0</v>
      </c>
      <c r="E65" s="1" t="s">
        <v>27</v>
      </c>
      <c r="H65" s="7">
        <v>8.527</v>
      </c>
      <c r="I65" s="7">
        <v>9.554</v>
      </c>
      <c r="J65" s="7">
        <v>0.151</v>
      </c>
      <c r="K65" s="7">
        <v>46.613</v>
      </c>
      <c r="L65" s="7">
        <v>4.802</v>
      </c>
      <c r="M65" s="8">
        <f t="shared" si="5"/>
        <v>105.9385</v>
      </c>
      <c r="N65" s="7">
        <v>114.46549999999999</v>
      </c>
      <c r="O65" s="10">
        <f t="shared" si="6"/>
        <v>23.83704706</v>
      </c>
      <c r="R65" s="1" t="s">
        <v>20</v>
      </c>
      <c r="S65" s="1" t="s">
        <v>62</v>
      </c>
      <c r="U65" s="1">
        <f t="shared" si="7"/>
        <v>0.03144523115</v>
      </c>
      <c r="V65" s="1">
        <f t="shared" si="8"/>
        <v>0.1579602588</v>
      </c>
    </row>
    <row r="66" ht="14.25" customHeight="1">
      <c r="A66" s="1" t="s">
        <v>17</v>
      </c>
      <c r="B66" s="1" t="s">
        <v>96</v>
      </c>
      <c r="D66" s="6">
        <v>45853.0</v>
      </c>
      <c r="E66" s="1" t="s">
        <v>29</v>
      </c>
      <c r="H66" s="7">
        <v>1.68</v>
      </c>
      <c r="I66" s="7">
        <v>1.448</v>
      </c>
      <c r="J66" s="7">
        <v>0.067</v>
      </c>
      <c r="K66" s="7">
        <v>63.376</v>
      </c>
      <c r="L66" s="7">
        <v>3.0955</v>
      </c>
      <c r="M66" s="8">
        <f t="shared" si="5"/>
        <v>76.202</v>
      </c>
      <c r="N66" s="7">
        <v>77.882</v>
      </c>
      <c r="O66" s="10">
        <f t="shared" si="6"/>
        <v>25.15974802</v>
      </c>
      <c r="R66" s="1" t="s">
        <v>20</v>
      </c>
      <c r="S66" s="1" t="s">
        <v>62</v>
      </c>
      <c r="U66" s="1">
        <f t="shared" si="7"/>
        <v>0.0216443224</v>
      </c>
      <c r="V66" s="1">
        <f t="shared" si="8"/>
        <v>0.040163324</v>
      </c>
    </row>
    <row r="67" ht="14.25" customHeight="1">
      <c r="A67" s="1" t="s">
        <v>17</v>
      </c>
      <c r="B67" s="1" t="s">
        <v>97</v>
      </c>
      <c r="D67" s="6">
        <v>45853.0</v>
      </c>
      <c r="E67" s="1" t="s">
        <v>31</v>
      </c>
      <c r="H67" s="7">
        <v>1.991</v>
      </c>
      <c r="I67" s="7">
        <v>5.582</v>
      </c>
      <c r="J67" s="7">
        <v>0.012</v>
      </c>
      <c r="K67" s="7">
        <v>76.571</v>
      </c>
      <c r="L67" s="7">
        <v>2.9604999999999997</v>
      </c>
      <c r="M67" s="8">
        <f t="shared" si="5"/>
        <v>71.5795</v>
      </c>
      <c r="N67" s="7">
        <v>73.57050000000001</v>
      </c>
      <c r="O67" s="10">
        <f t="shared" si="6"/>
        <v>24.8507009</v>
      </c>
      <c r="R67" s="1" t="s">
        <v>20</v>
      </c>
      <c r="S67" s="1" t="s">
        <v>62</v>
      </c>
      <c r="U67" s="1">
        <f t="shared" si="7"/>
        <v>0.004053369363</v>
      </c>
      <c r="V67" s="1">
        <f t="shared" si="8"/>
        <v>0.1029352798</v>
      </c>
    </row>
    <row r="68" ht="14.25" customHeight="1">
      <c r="A68" s="1" t="s">
        <v>17</v>
      </c>
      <c r="B68" s="1" t="s">
        <v>98</v>
      </c>
      <c r="D68" s="6">
        <v>45853.0</v>
      </c>
      <c r="E68" s="1" t="s">
        <v>33</v>
      </c>
      <c r="H68" s="7">
        <v>2.427</v>
      </c>
      <c r="I68" s="7">
        <v>5.114</v>
      </c>
      <c r="J68" s="7">
        <v>0.086</v>
      </c>
      <c r="K68" s="7">
        <v>64.247</v>
      </c>
      <c r="L68" s="7">
        <v>2.7015000000000002</v>
      </c>
      <c r="M68" s="8">
        <f t="shared" si="5"/>
        <v>74.3705</v>
      </c>
      <c r="N68" s="7">
        <v>76.7975</v>
      </c>
      <c r="O68" s="10">
        <f t="shared" si="6"/>
        <v>28.42772534</v>
      </c>
      <c r="R68" s="1" t="s">
        <v>20</v>
      </c>
      <c r="S68" s="1" t="s">
        <v>62</v>
      </c>
      <c r="U68" s="1">
        <f t="shared" si="7"/>
        <v>0.0318341662</v>
      </c>
      <c r="V68" s="1">
        <f t="shared" si="8"/>
        <v>0.09819330056</v>
      </c>
    </row>
    <row r="69" ht="14.25" customHeight="1">
      <c r="A69" s="1" t="s">
        <v>17</v>
      </c>
      <c r="B69" s="1" t="s">
        <v>99</v>
      </c>
      <c r="D69" s="6">
        <v>45853.0</v>
      </c>
      <c r="E69" s="1" t="s">
        <v>35</v>
      </c>
      <c r="H69" s="7">
        <v>1.238</v>
      </c>
      <c r="I69" s="7">
        <v>11.565</v>
      </c>
      <c r="J69" s="7">
        <v>0.052</v>
      </c>
      <c r="K69" s="7">
        <v>67.886</v>
      </c>
      <c r="L69" s="7">
        <v>2.4924999999999997</v>
      </c>
      <c r="M69" s="8">
        <f t="shared" si="5"/>
        <v>79.351</v>
      </c>
      <c r="N69" s="7">
        <v>80.589</v>
      </c>
      <c r="O69" s="10">
        <f t="shared" si="6"/>
        <v>32.33259779</v>
      </c>
      <c r="R69" s="1" t="s">
        <v>20</v>
      </c>
      <c r="S69" s="1" t="s">
        <v>62</v>
      </c>
      <c r="U69" s="1">
        <f t="shared" si="7"/>
        <v>0.02086258776</v>
      </c>
      <c r="V69" s="1">
        <f t="shared" si="8"/>
        <v>0.1588678356</v>
      </c>
    </row>
    <row r="70" ht="14.25" customHeight="1">
      <c r="A70" s="1" t="s">
        <v>17</v>
      </c>
      <c r="B70" s="1" t="s">
        <v>100</v>
      </c>
      <c r="D70" s="6">
        <v>45853.0</v>
      </c>
      <c r="E70" s="1" t="s">
        <v>37</v>
      </c>
      <c r="H70" s="7">
        <v>2.029</v>
      </c>
      <c r="I70" s="7">
        <v>4.112</v>
      </c>
      <c r="J70" s="7">
        <v>0.021</v>
      </c>
      <c r="K70" s="7">
        <v>70.905</v>
      </c>
      <c r="L70" s="7">
        <v>2.5385</v>
      </c>
      <c r="M70" s="8">
        <f t="shared" si="5"/>
        <v>71.142</v>
      </c>
      <c r="N70" s="7">
        <v>73.17099999999999</v>
      </c>
      <c r="O70" s="10">
        <f t="shared" si="6"/>
        <v>28.82450266</v>
      </c>
      <c r="R70" s="1" t="s">
        <v>20</v>
      </c>
      <c r="S70" s="1" t="s">
        <v>62</v>
      </c>
      <c r="U70" s="1">
        <f t="shared" si="7"/>
        <v>0.00827260193</v>
      </c>
      <c r="V70" s="1">
        <f t="shared" si="8"/>
        <v>0.08392669227</v>
      </c>
    </row>
    <row r="71" ht="14.25" customHeight="1">
      <c r="A71" s="1" t="s">
        <v>17</v>
      </c>
      <c r="B71" s="1" t="s">
        <v>101</v>
      </c>
      <c r="D71" s="6">
        <v>45853.0</v>
      </c>
      <c r="E71" s="1" t="s">
        <v>39</v>
      </c>
      <c r="H71" s="7">
        <v>38.648</v>
      </c>
      <c r="I71" s="7">
        <v>3.156</v>
      </c>
      <c r="J71" s="7">
        <v>0.0</v>
      </c>
      <c r="K71" s="7">
        <v>21.864</v>
      </c>
      <c r="L71" s="7">
        <v>0.451</v>
      </c>
      <c r="M71" s="8">
        <f t="shared" si="5"/>
        <v>18.249</v>
      </c>
      <c r="N71" s="7">
        <v>56.897</v>
      </c>
      <c r="O71" s="10">
        <f t="shared" si="6"/>
        <v>126.1574279</v>
      </c>
      <c r="R71" s="1" t="s">
        <v>20</v>
      </c>
      <c r="S71" s="1" t="s">
        <v>62</v>
      </c>
      <c r="U71" s="1">
        <f t="shared" si="7"/>
        <v>0</v>
      </c>
      <c r="V71" s="1">
        <f t="shared" si="8"/>
        <v>0.7347311809</v>
      </c>
    </row>
    <row r="72" ht="14.25" customHeight="1">
      <c r="A72" s="1" t="s">
        <v>17</v>
      </c>
      <c r="B72" s="1" t="s">
        <v>102</v>
      </c>
      <c r="D72" s="6">
        <v>45860.0</v>
      </c>
      <c r="E72" s="1" t="s">
        <v>19</v>
      </c>
      <c r="H72" s="7">
        <v>124.53</v>
      </c>
      <c r="I72" s="7">
        <v>6.257</v>
      </c>
      <c r="J72" s="7">
        <v>0.9</v>
      </c>
      <c r="K72" s="7">
        <v>63.717</v>
      </c>
      <c r="L72" s="7">
        <v>6.8565</v>
      </c>
      <c r="M72" s="8">
        <f t="shared" si="5"/>
        <v>102.3525</v>
      </c>
      <c r="N72" s="7">
        <v>226.8825</v>
      </c>
      <c r="O72" s="10">
        <f t="shared" si="6"/>
        <v>33.09013345</v>
      </c>
      <c r="R72" s="1" t="s">
        <v>20</v>
      </c>
      <c r="S72" s="1" t="s">
        <v>103</v>
      </c>
      <c r="U72" s="1">
        <f t="shared" si="7"/>
        <v>0.1312623058</v>
      </c>
      <c r="V72" s="1">
        <f t="shared" si="8"/>
        <v>0.5764525691</v>
      </c>
    </row>
    <row r="73" ht="14.25" customHeight="1">
      <c r="A73" s="1" t="s">
        <v>17</v>
      </c>
      <c r="B73" s="1" t="s">
        <v>104</v>
      </c>
      <c r="D73" s="6">
        <v>45860.0</v>
      </c>
      <c r="E73" s="1" t="s">
        <v>23</v>
      </c>
      <c r="H73" s="7">
        <v>1.873</v>
      </c>
      <c r="I73" s="7">
        <v>1.998</v>
      </c>
      <c r="J73" s="7">
        <v>0.106</v>
      </c>
      <c r="K73" s="7">
        <v>24.44</v>
      </c>
      <c r="L73" s="7">
        <v>6.1035</v>
      </c>
      <c r="M73" s="8">
        <f t="shared" si="5"/>
        <v>135.286</v>
      </c>
      <c r="N73" s="7">
        <v>137.159</v>
      </c>
      <c r="O73" s="10">
        <f t="shared" si="6"/>
        <v>22.47218809</v>
      </c>
      <c r="R73" s="1" t="s">
        <v>20</v>
      </c>
      <c r="S73" s="1" t="s">
        <v>103</v>
      </c>
      <c r="U73" s="1">
        <f t="shared" si="7"/>
        <v>0.01736708446</v>
      </c>
      <c r="V73" s="1">
        <f t="shared" si="8"/>
        <v>0.02822271962</v>
      </c>
    </row>
    <row r="74" ht="14.25" customHeight="1">
      <c r="A74" s="1" t="s">
        <v>17</v>
      </c>
      <c r="B74" s="1" t="s">
        <v>105</v>
      </c>
      <c r="D74" s="6">
        <v>45860.0</v>
      </c>
      <c r="E74" s="1" t="s">
        <v>25</v>
      </c>
      <c r="H74" s="7">
        <v>1.35</v>
      </c>
      <c r="I74" s="7">
        <v>1.351</v>
      </c>
      <c r="J74" s="7">
        <v>0.106</v>
      </c>
      <c r="K74" s="7">
        <v>18.268</v>
      </c>
      <c r="L74" s="7">
        <v>5.737500000000001</v>
      </c>
      <c r="M74" s="8">
        <f t="shared" si="5"/>
        <v>148.2565</v>
      </c>
      <c r="N74" s="7">
        <v>149.60649999999998</v>
      </c>
      <c r="O74" s="10">
        <f t="shared" si="6"/>
        <v>26.07520697</v>
      </c>
      <c r="R74" s="1" t="s">
        <v>20</v>
      </c>
      <c r="S74" s="1" t="s">
        <v>103</v>
      </c>
      <c r="U74" s="1">
        <f t="shared" si="7"/>
        <v>0.01847494553</v>
      </c>
      <c r="V74" s="1">
        <f t="shared" si="8"/>
        <v>0.0180540284</v>
      </c>
    </row>
    <row r="75" ht="14.25" customHeight="1">
      <c r="A75" s="1" t="s">
        <v>17</v>
      </c>
      <c r="B75" s="1" t="s">
        <v>106</v>
      </c>
      <c r="D75" s="6">
        <v>45860.0</v>
      </c>
      <c r="E75" s="1" t="s">
        <v>27</v>
      </c>
      <c r="H75" s="7">
        <v>1.431</v>
      </c>
      <c r="I75" s="7">
        <v>5.317</v>
      </c>
      <c r="J75" s="7">
        <v>0.299</v>
      </c>
      <c r="K75" s="7">
        <v>36.003</v>
      </c>
      <c r="L75" s="7">
        <v>5.0969999999999995</v>
      </c>
      <c r="M75" s="8">
        <f t="shared" si="5"/>
        <v>103.1875</v>
      </c>
      <c r="N75" s="7">
        <v>104.6185</v>
      </c>
      <c r="O75" s="10">
        <f t="shared" si="6"/>
        <v>20.5255052</v>
      </c>
      <c r="R75" s="1" t="s">
        <v>20</v>
      </c>
      <c r="S75" s="1" t="s">
        <v>103</v>
      </c>
      <c r="U75" s="1">
        <f t="shared" si="7"/>
        <v>0.05866195801</v>
      </c>
      <c r="V75" s="1">
        <f t="shared" si="8"/>
        <v>0.06450102037</v>
      </c>
    </row>
    <row r="76" ht="14.25" customHeight="1">
      <c r="A76" s="1" t="s">
        <v>17</v>
      </c>
      <c r="B76" s="1" t="s">
        <v>107</v>
      </c>
      <c r="D76" s="6">
        <v>45860.0</v>
      </c>
      <c r="E76" s="1" t="s">
        <v>29</v>
      </c>
      <c r="H76" s="7">
        <v>0.84</v>
      </c>
      <c r="I76" s="7">
        <v>2.702</v>
      </c>
      <c r="J76" s="7">
        <v>0.485</v>
      </c>
      <c r="K76" s="7">
        <v>62.326</v>
      </c>
      <c r="L76" s="7">
        <v>3.959</v>
      </c>
      <c r="M76" s="8">
        <f t="shared" si="5"/>
        <v>76.0125</v>
      </c>
      <c r="N76" s="7">
        <v>76.8525</v>
      </c>
      <c r="O76" s="10">
        <f t="shared" si="6"/>
        <v>19.41209901</v>
      </c>
      <c r="R76" s="1" t="s">
        <v>20</v>
      </c>
      <c r="S76" s="1" t="s">
        <v>103</v>
      </c>
      <c r="U76" s="1">
        <f t="shared" si="7"/>
        <v>0.1225056833</v>
      </c>
      <c r="V76" s="1">
        <f t="shared" si="8"/>
        <v>0.046088286</v>
      </c>
    </row>
    <row r="77" ht="14.25" customHeight="1">
      <c r="A77" s="1" t="s">
        <v>17</v>
      </c>
      <c r="B77" s="1" t="s">
        <v>108</v>
      </c>
      <c r="D77" s="6">
        <v>45860.0</v>
      </c>
      <c r="E77" s="1" t="s">
        <v>31</v>
      </c>
      <c r="H77" s="7">
        <v>1.562</v>
      </c>
      <c r="I77" s="7">
        <v>1.072</v>
      </c>
      <c r="J77" s="7">
        <v>0.269</v>
      </c>
      <c r="K77" s="7">
        <v>94.845</v>
      </c>
      <c r="L77" s="7">
        <v>2.6825</v>
      </c>
      <c r="M77" s="8">
        <f t="shared" si="5"/>
        <v>54.415</v>
      </c>
      <c r="N77" s="7">
        <v>55.977</v>
      </c>
      <c r="O77" s="10">
        <f t="shared" si="6"/>
        <v>20.86747437</v>
      </c>
      <c r="R77" s="1" t="s">
        <v>20</v>
      </c>
      <c r="S77" s="1" t="s">
        <v>103</v>
      </c>
      <c r="U77" s="1">
        <f t="shared" si="7"/>
        <v>0.1002795899</v>
      </c>
      <c r="V77" s="1">
        <f t="shared" si="8"/>
        <v>0.04705504046</v>
      </c>
    </row>
    <row r="78" ht="14.25" customHeight="1">
      <c r="A78" s="1" t="s">
        <v>17</v>
      </c>
      <c r="B78" s="1" t="s">
        <v>109</v>
      </c>
      <c r="D78" s="6">
        <v>45860.0</v>
      </c>
      <c r="E78" s="1" t="s">
        <v>33</v>
      </c>
      <c r="H78" s="7">
        <v>3.056</v>
      </c>
      <c r="I78" s="7">
        <v>2.035</v>
      </c>
      <c r="J78" s="7">
        <v>0.082</v>
      </c>
      <c r="K78" s="7">
        <v>74.929</v>
      </c>
      <c r="L78" s="7">
        <v>2.0745</v>
      </c>
      <c r="M78" s="8">
        <f t="shared" si="5"/>
        <v>48.413</v>
      </c>
      <c r="N78" s="7">
        <v>51.469</v>
      </c>
      <c r="O78" s="10">
        <f t="shared" si="6"/>
        <v>24.81031574</v>
      </c>
      <c r="R78" s="1" t="s">
        <v>20</v>
      </c>
      <c r="S78" s="1" t="s">
        <v>103</v>
      </c>
      <c r="U78" s="1">
        <f t="shared" si="7"/>
        <v>0.03952759701</v>
      </c>
      <c r="V78" s="1">
        <f t="shared" si="8"/>
        <v>0.09891390934</v>
      </c>
    </row>
    <row r="79" ht="14.25" customHeight="1">
      <c r="A79" s="1" t="s">
        <v>17</v>
      </c>
      <c r="B79" s="1" t="s">
        <v>110</v>
      </c>
      <c r="D79" s="6">
        <v>45860.0</v>
      </c>
      <c r="E79" s="1" t="s">
        <v>35</v>
      </c>
      <c r="H79" s="7">
        <v>6.187</v>
      </c>
      <c r="I79" s="7">
        <v>1.941</v>
      </c>
      <c r="J79" s="7">
        <v>0.01</v>
      </c>
      <c r="K79" s="7">
        <v>58.86</v>
      </c>
      <c r="L79" s="7">
        <v>1.2885</v>
      </c>
      <c r="M79" s="8">
        <f t="shared" si="5"/>
        <v>42.018</v>
      </c>
      <c r="N79" s="7">
        <v>48.205</v>
      </c>
      <c r="O79" s="10">
        <f t="shared" si="6"/>
        <v>37.41171905</v>
      </c>
      <c r="R79" s="1" t="s">
        <v>20</v>
      </c>
      <c r="S79" s="1" t="s">
        <v>103</v>
      </c>
      <c r="U79" s="1">
        <f t="shared" si="7"/>
        <v>0.007760962359</v>
      </c>
      <c r="V79" s="1">
        <f t="shared" si="8"/>
        <v>0.1686132144</v>
      </c>
    </row>
    <row r="80" ht="14.25" customHeight="1">
      <c r="A80" s="1" t="s">
        <v>17</v>
      </c>
      <c r="B80" s="1" t="s">
        <v>111</v>
      </c>
      <c r="D80" s="6">
        <v>45860.0</v>
      </c>
      <c r="E80" s="1" t="s">
        <v>37</v>
      </c>
      <c r="H80" s="7">
        <v>0.765</v>
      </c>
      <c r="I80" s="7">
        <v>1.438</v>
      </c>
      <c r="J80" s="7">
        <v>0.028</v>
      </c>
      <c r="K80" s="7">
        <v>77.033</v>
      </c>
      <c r="L80" s="7">
        <v>2.7424999999999997</v>
      </c>
      <c r="M80" s="8">
        <f t="shared" si="5"/>
        <v>64.4985</v>
      </c>
      <c r="N80" s="7">
        <v>65.2635</v>
      </c>
      <c r="O80" s="10">
        <f t="shared" si="6"/>
        <v>23.79708295</v>
      </c>
      <c r="R80" s="1" t="s">
        <v>20</v>
      </c>
      <c r="S80" s="1" t="s">
        <v>103</v>
      </c>
      <c r="U80" s="1">
        <f t="shared" si="7"/>
        <v>0.01020966272</v>
      </c>
      <c r="V80" s="1">
        <f t="shared" si="8"/>
        <v>0.03375546822</v>
      </c>
    </row>
    <row r="81" ht="14.25" customHeight="1">
      <c r="A81" s="1" t="s">
        <v>17</v>
      </c>
      <c r="B81" s="1" t="s">
        <v>112</v>
      </c>
      <c r="D81" s="6">
        <v>45860.0</v>
      </c>
      <c r="E81" s="1" t="s">
        <v>39</v>
      </c>
      <c r="H81" s="7">
        <v>23.18</v>
      </c>
      <c r="I81" s="7">
        <v>1.233</v>
      </c>
      <c r="J81" s="7">
        <v>0.044</v>
      </c>
      <c r="K81" s="7">
        <v>31.834</v>
      </c>
      <c r="L81" s="7">
        <v>0.582</v>
      </c>
      <c r="M81" s="8">
        <f t="shared" si="5"/>
        <v>24.535</v>
      </c>
      <c r="N81" s="7">
        <v>47.715</v>
      </c>
      <c r="O81" s="10">
        <f t="shared" si="6"/>
        <v>81.98453608</v>
      </c>
      <c r="R81" s="1" t="s">
        <v>20</v>
      </c>
      <c r="S81" s="1" t="s">
        <v>103</v>
      </c>
      <c r="U81" s="1">
        <f t="shared" si="7"/>
        <v>0.07560137457</v>
      </c>
      <c r="V81" s="1">
        <f t="shared" si="8"/>
        <v>0.5116420413</v>
      </c>
    </row>
    <row r="82" ht="14.25" customHeight="1">
      <c r="A82" s="1" t="s">
        <v>17</v>
      </c>
      <c r="B82" s="1" t="s">
        <v>113</v>
      </c>
      <c r="D82" s="6">
        <v>45800.0</v>
      </c>
      <c r="E82" s="1" t="s">
        <v>114</v>
      </c>
      <c r="H82" s="7">
        <v>18.645</v>
      </c>
      <c r="I82" s="7">
        <v>4.573</v>
      </c>
      <c r="J82" s="7">
        <v>0.031</v>
      </c>
      <c r="K82" s="7">
        <v>159.617</v>
      </c>
      <c r="L82" s="7">
        <v>1.2165</v>
      </c>
      <c r="M82" s="8">
        <f t="shared" si="5"/>
        <v>68.3725</v>
      </c>
      <c r="N82" s="7">
        <v>87.01750000000001</v>
      </c>
      <c r="O82" s="10">
        <f t="shared" si="6"/>
        <v>71.53103165</v>
      </c>
      <c r="R82" s="1" t="s">
        <v>115</v>
      </c>
      <c r="S82" s="1" t="s">
        <v>103</v>
      </c>
      <c r="U82" s="1">
        <f t="shared" si="7"/>
        <v>0.02548294287</v>
      </c>
      <c r="V82" s="1">
        <f t="shared" si="8"/>
        <v>0.2668198926</v>
      </c>
    </row>
    <row r="83" ht="14.25" customHeight="1">
      <c r="A83" s="1" t="s">
        <v>17</v>
      </c>
      <c r="B83" s="1" t="s">
        <v>116</v>
      </c>
      <c r="D83" s="6">
        <v>45800.0</v>
      </c>
      <c r="E83" s="1" t="s">
        <v>117</v>
      </c>
      <c r="H83" s="7">
        <v>22.112</v>
      </c>
      <c r="I83" s="7">
        <v>3.806</v>
      </c>
      <c r="J83" s="7">
        <v>0.025</v>
      </c>
      <c r="K83" s="7">
        <v>151.04</v>
      </c>
      <c r="L83" s="7">
        <v>1.2245</v>
      </c>
      <c r="M83" s="8">
        <f t="shared" si="5"/>
        <v>52.211</v>
      </c>
      <c r="N83" s="7">
        <v>74.32300000000001</v>
      </c>
      <c r="O83" s="10">
        <f t="shared" si="6"/>
        <v>60.69661086</v>
      </c>
      <c r="R83" s="1" t="s">
        <v>115</v>
      </c>
      <c r="S83" s="1" t="s">
        <v>103</v>
      </c>
      <c r="U83" s="1">
        <f t="shared" si="7"/>
        <v>0.02041649653</v>
      </c>
      <c r="V83" s="1">
        <f t="shared" si="8"/>
        <v>0.3487211227</v>
      </c>
    </row>
    <row r="84" ht="14.25" customHeight="1">
      <c r="A84" s="1" t="s">
        <v>17</v>
      </c>
      <c r="B84" s="1" t="s">
        <v>118</v>
      </c>
      <c r="D84" s="6">
        <v>45800.0</v>
      </c>
      <c r="E84" s="1" t="s">
        <v>119</v>
      </c>
      <c r="H84" s="7">
        <v>20.754</v>
      </c>
      <c r="I84" s="7">
        <v>3.408</v>
      </c>
      <c r="J84" s="7">
        <v>0.015</v>
      </c>
      <c r="K84" s="7">
        <v>148.739</v>
      </c>
      <c r="L84" s="7">
        <v>1.4625</v>
      </c>
      <c r="M84" s="8">
        <f t="shared" si="5"/>
        <v>67.2815</v>
      </c>
      <c r="N84" s="7">
        <v>88.0355</v>
      </c>
      <c r="O84" s="10">
        <f t="shared" si="6"/>
        <v>60.19521368</v>
      </c>
      <c r="R84" s="1" t="s">
        <v>115</v>
      </c>
      <c r="S84" s="1" t="s">
        <v>103</v>
      </c>
      <c r="U84" s="1">
        <f t="shared" si="7"/>
        <v>0.01025641026</v>
      </c>
      <c r="V84" s="1">
        <f t="shared" si="8"/>
        <v>0.2744574632</v>
      </c>
    </row>
    <row r="85" ht="14.25" customHeight="1">
      <c r="A85" s="1" t="s">
        <v>17</v>
      </c>
      <c r="B85" s="1" t="s">
        <v>120</v>
      </c>
      <c r="D85" s="6">
        <v>45800.0</v>
      </c>
      <c r="E85" s="1" t="s">
        <v>121</v>
      </c>
      <c r="H85" s="7">
        <v>21.486</v>
      </c>
      <c r="I85" s="7">
        <v>4.356</v>
      </c>
      <c r="J85" s="7">
        <v>0.026</v>
      </c>
      <c r="K85" s="7">
        <v>143.137</v>
      </c>
      <c r="L85" s="7">
        <v>1.2355</v>
      </c>
      <c r="M85" s="8">
        <f t="shared" si="5"/>
        <v>66.648</v>
      </c>
      <c r="N85" s="7">
        <v>88.134</v>
      </c>
      <c r="O85" s="10">
        <f t="shared" si="6"/>
        <v>71.33468231</v>
      </c>
      <c r="R85" s="1" t="s">
        <v>115</v>
      </c>
      <c r="S85" s="1" t="s">
        <v>103</v>
      </c>
      <c r="U85" s="1">
        <f t="shared" si="7"/>
        <v>0.0210441117</v>
      </c>
      <c r="V85" s="1">
        <f t="shared" si="8"/>
        <v>0.2932126081</v>
      </c>
    </row>
    <row r="86" ht="14.25" customHeight="1">
      <c r="A86" s="1" t="s">
        <v>17</v>
      </c>
      <c r="B86" s="1" t="s">
        <v>122</v>
      </c>
      <c r="D86" s="6">
        <v>45807.0</v>
      </c>
      <c r="E86" s="1" t="s">
        <v>114</v>
      </c>
      <c r="H86" s="7">
        <v>11.694</v>
      </c>
      <c r="I86" s="7">
        <v>0.96</v>
      </c>
      <c r="J86" s="7">
        <v>0.038</v>
      </c>
      <c r="K86" s="7">
        <v>168.639</v>
      </c>
      <c r="L86" s="7">
        <v>1.4304999999999999</v>
      </c>
      <c r="M86" s="8">
        <f t="shared" si="5"/>
        <v>70.8515</v>
      </c>
      <c r="N86" s="7">
        <v>82.5455</v>
      </c>
      <c r="O86" s="10">
        <f t="shared" si="6"/>
        <v>57.70394967</v>
      </c>
      <c r="R86" s="1" t="s">
        <v>115</v>
      </c>
      <c r="S86" s="1" t="s">
        <v>103</v>
      </c>
      <c r="U86" s="1">
        <f t="shared" si="7"/>
        <v>0.02656413841</v>
      </c>
      <c r="V86" s="1">
        <f t="shared" si="8"/>
        <v>0.1532972724</v>
      </c>
    </row>
    <row r="87" ht="14.25" customHeight="1">
      <c r="A87" s="1" t="s">
        <v>17</v>
      </c>
      <c r="B87" s="1" t="s">
        <v>123</v>
      </c>
      <c r="D87" s="6">
        <v>45807.0</v>
      </c>
      <c r="E87" s="1" t="s">
        <v>117</v>
      </c>
      <c r="H87" s="7">
        <v>13.275</v>
      </c>
      <c r="I87" s="7">
        <v>0.247</v>
      </c>
      <c r="J87" s="7">
        <v>0.069</v>
      </c>
      <c r="K87" s="7">
        <v>162.061</v>
      </c>
      <c r="L87" s="7">
        <v>1.726</v>
      </c>
      <c r="M87" s="8">
        <f t="shared" si="5"/>
        <v>74.7915</v>
      </c>
      <c r="N87" s="7">
        <v>88.0665</v>
      </c>
      <c r="O87" s="10">
        <f t="shared" si="6"/>
        <v>51.02346466</v>
      </c>
      <c r="R87" s="1" t="s">
        <v>115</v>
      </c>
      <c r="S87" s="1" t="s">
        <v>103</v>
      </c>
      <c r="U87" s="1">
        <f t="shared" si="7"/>
        <v>0.03997682503</v>
      </c>
      <c r="V87" s="1">
        <f t="shared" si="8"/>
        <v>0.1535430612</v>
      </c>
    </row>
    <row r="88" ht="14.25" customHeight="1">
      <c r="A88" s="1" t="s">
        <v>17</v>
      </c>
      <c r="B88" s="1" t="s">
        <v>124</v>
      </c>
      <c r="D88" s="6">
        <v>45807.0</v>
      </c>
      <c r="E88" s="1" t="s">
        <v>119</v>
      </c>
      <c r="H88" s="7">
        <v>12.021</v>
      </c>
      <c r="I88" s="7">
        <v>15.761</v>
      </c>
      <c r="J88" s="7">
        <v>0.113</v>
      </c>
      <c r="K88" s="7">
        <v>190.693</v>
      </c>
      <c r="L88" s="7">
        <v>1.6155</v>
      </c>
      <c r="M88" s="8">
        <f t="shared" si="5"/>
        <v>78.155</v>
      </c>
      <c r="N88" s="7">
        <v>90.176</v>
      </c>
      <c r="O88" s="10">
        <f t="shared" si="6"/>
        <v>55.81925101</v>
      </c>
      <c r="R88" s="1" t="s">
        <v>115</v>
      </c>
      <c r="S88" s="1" t="s">
        <v>103</v>
      </c>
      <c r="U88" s="1">
        <f t="shared" si="7"/>
        <v>0.06994738471</v>
      </c>
      <c r="V88" s="1">
        <f t="shared" si="8"/>
        <v>0.3080864088</v>
      </c>
    </row>
    <row r="89" ht="14.25" customHeight="1">
      <c r="A89" s="1" t="s">
        <v>17</v>
      </c>
      <c r="B89" s="1" t="s">
        <v>125</v>
      </c>
      <c r="D89" s="6">
        <v>45807.0</v>
      </c>
      <c r="E89" s="1" t="s">
        <v>121</v>
      </c>
      <c r="H89" s="7">
        <v>11.399</v>
      </c>
      <c r="I89" s="7">
        <v>0.91</v>
      </c>
      <c r="J89" s="7">
        <v>0.065</v>
      </c>
      <c r="K89" s="7">
        <v>163.014</v>
      </c>
      <c r="L89" s="7">
        <v>1.4455</v>
      </c>
      <c r="M89" s="8">
        <f t="shared" si="5"/>
        <v>69.949</v>
      </c>
      <c r="N89" s="7">
        <v>81.34800000000001</v>
      </c>
      <c r="O89" s="10">
        <f t="shared" si="6"/>
        <v>56.27672086</v>
      </c>
      <c r="R89" s="1" t="s">
        <v>115</v>
      </c>
      <c r="S89" s="1" t="s">
        <v>103</v>
      </c>
      <c r="U89" s="1">
        <f t="shared" si="7"/>
        <v>0.0449671394</v>
      </c>
      <c r="V89" s="1">
        <f t="shared" si="8"/>
        <v>0.151312878</v>
      </c>
    </row>
    <row r="90" ht="14.25" customHeight="1">
      <c r="A90" s="1" t="s">
        <v>17</v>
      </c>
      <c r="B90" s="1" t="s">
        <v>126</v>
      </c>
      <c r="D90" s="6">
        <v>45814.0</v>
      </c>
      <c r="E90" s="1" t="s">
        <v>114</v>
      </c>
      <c r="H90" s="7">
        <v>0.753</v>
      </c>
      <c r="I90" s="7">
        <v>4.025</v>
      </c>
      <c r="J90" s="7">
        <v>0.026</v>
      </c>
      <c r="K90" s="7">
        <v>164.653</v>
      </c>
      <c r="L90" s="7">
        <v>2.6485</v>
      </c>
      <c r="M90" s="8">
        <f t="shared" si="5"/>
        <v>87.7515</v>
      </c>
      <c r="N90" s="7">
        <v>88.5045</v>
      </c>
      <c r="O90" s="10">
        <f t="shared" si="6"/>
        <v>33.41683972</v>
      </c>
      <c r="R90" s="1" t="s">
        <v>115</v>
      </c>
      <c r="S90" s="1" t="s">
        <v>103</v>
      </c>
      <c r="U90" s="1">
        <f t="shared" si="7"/>
        <v>0.009816877478</v>
      </c>
      <c r="V90" s="1">
        <f t="shared" si="8"/>
        <v>0.05398595552</v>
      </c>
    </row>
    <row r="91" ht="14.25" customHeight="1">
      <c r="A91" s="1" t="s">
        <v>17</v>
      </c>
      <c r="B91" s="1" t="s">
        <v>127</v>
      </c>
      <c r="D91" s="6">
        <v>45814.0</v>
      </c>
      <c r="E91" s="1" t="s">
        <v>117</v>
      </c>
      <c r="H91" s="7">
        <v>2.307</v>
      </c>
      <c r="I91" s="7">
        <v>1.495</v>
      </c>
      <c r="J91" s="7">
        <v>0.049</v>
      </c>
      <c r="K91" s="7">
        <v>166.865</v>
      </c>
      <c r="L91" s="7">
        <v>2.7655000000000003</v>
      </c>
      <c r="M91" s="8">
        <f t="shared" si="5"/>
        <v>86.3005</v>
      </c>
      <c r="N91" s="7">
        <v>88.60749999999999</v>
      </c>
      <c r="O91" s="10">
        <f t="shared" si="6"/>
        <v>32.04031821</v>
      </c>
      <c r="R91" s="1" t="s">
        <v>115</v>
      </c>
      <c r="S91" s="1" t="s">
        <v>103</v>
      </c>
      <c r="U91" s="1">
        <f t="shared" si="7"/>
        <v>0.01771831495</v>
      </c>
      <c r="V91" s="1">
        <f t="shared" si="8"/>
        <v>0.04290833169</v>
      </c>
    </row>
    <row r="92" ht="14.25" customHeight="1">
      <c r="A92" s="1" t="s">
        <v>17</v>
      </c>
      <c r="B92" s="1" t="s">
        <v>128</v>
      </c>
      <c r="D92" s="6">
        <v>45814.0</v>
      </c>
      <c r="E92" s="1" t="s">
        <v>119</v>
      </c>
      <c r="H92" s="7">
        <v>0.0</v>
      </c>
      <c r="I92" s="7">
        <v>0.0</v>
      </c>
      <c r="J92" s="7">
        <v>0.018</v>
      </c>
      <c r="K92" s="7">
        <v>158.37</v>
      </c>
      <c r="L92" s="7">
        <v>3.3765</v>
      </c>
      <c r="M92" s="8">
        <f t="shared" si="5"/>
        <v>97.925</v>
      </c>
      <c r="N92" s="7">
        <v>97.925</v>
      </c>
      <c r="O92" s="10">
        <f t="shared" si="6"/>
        <v>29.00192507</v>
      </c>
      <c r="R92" s="1" t="s">
        <v>115</v>
      </c>
      <c r="S92" s="1" t="s">
        <v>103</v>
      </c>
      <c r="U92" s="1">
        <f t="shared" si="7"/>
        <v>0.005330964016</v>
      </c>
      <c r="V92" s="1">
        <f t="shared" si="8"/>
        <v>0</v>
      </c>
    </row>
    <row r="93" ht="14.25" customHeight="1">
      <c r="A93" s="1" t="s">
        <v>17</v>
      </c>
      <c r="B93" s="1" t="s">
        <v>129</v>
      </c>
      <c r="D93" s="6">
        <v>45814.0</v>
      </c>
      <c r="E93" s="1" t="s">
        <v>121</v>
      </c>
      <c r="H93" s="7">
        <v>0.632</v>
      </c>
      <c r="I93" s="7">
        <v>4.849</v>
      </c>
      <c r="J93" s="7">
        <v>0.054</v>
      </c>
      <c r="K93" s="7">
        <v>171.758</v>
      </c>
      <c r="L93" s="7">
        <v>3.08</v>
      </c>
      <c r="M93" s="8">
        <f t="shared" si="5"/>
        <v>95.423</v>
      </c>
      <c r="N93" s="7">
        <v>96.055</v>
      </c>
      <c r="O93" s="10">
        <f t="shared" si="6"/>
        <v>31.18668831</v>
      </c>
      <c r="R93" s="1" t="s">
        <v>115</v>
      </c>
      <c r="S93" s="1" t="s">
        <v>103</v>
      </c>
      <c r="U93" s="1">
        <f t="shared" si="7"/>
        <v>0.01753246753</v>
      </c>
      <c r="V93" s="1">
        <f t="shared" si="8"/>
        <v>0.05706105877</v>
      </c>
    </row>
    <row r="94" ht="14.25" customHeight="1">
      <c r="A94" s="1" t="s">
        <v>17</v>
      </c>
      <c r="B94" s="1" t="s">
        <v>130</v>
      </c>
      <c r="D94" s="6">
        <v>45828.0</v>
      </c>
      <c r="E94" s="1" t="s">
        <v>114</v>
      </c>
      <c r="H94" s="7">
        <v>1.064</v>
      </c>
      <c r="I94" s="7">
        <v>0.484</v>
      </c>
      <c r="J94" s="7">
        <v>0.07</v>
      </c>
      <c r="K94" s="7">
        <v>199.011</v>
      </c>
      <c r="L94" s="7">
        <v>2.1050000000000004</v>
      </c>
      <c r="M94" s="8">
        <f t="shared" si="5"/>
        <v>83.8255</v>
      </c>
      <c r="N94" s="7">
        <v>84.8895</v>
      </c>
      <c r="O94" s="10">
        <f t="shared" si="6"/>
        <v>40.32755344</v>
      </c>
      <c r="R94" s="1" t="s">
        <v>115</v>
      </c>
      <c r="S94" s="1" t="s">
        <v>103</v>
      </c>
      <c r="U94" s="1">
        <f t="shared" si="7"/>
        <v>0.03325415677</v>
      </c>
      <c r="V94" s="1">
        <f t="shared" si="8"/>
        <v>0.01823547082</v>
      </c>
    </row>
    <row r="95" ht="14.25" customHeight="1">
      <c r="A95" s="1" t="s">
        <v>17</v>
      </c>
      <c r="B95" s="1" t="s">
        <v>131</v>
      </c>
      <c r="D95" s="6">
        <v>45828.0</v>
      </c>
      <c r="E95" s="1" t="s">
        <v>117</v>
      </c>
      <c r="H95" s="7">
        <v>0.841</v>
      </c>
      <c r="I95" s="7">
        <v>0.192</v>
      </c>
      <c r="J95" s="7">
        <v>0.048</v>
      </c>
      <c r="K95" s="7">
        <v>195.799</v>
      </c>
      <c r="L95" s="7">
        <v>2.2880000000000003</v>
      </c>
      <c r="M95" s="8">
        <f t="shared" si="5"/>
        <v>86.44</v>
      </c>
      <c r="N95" s="7">
        <v>87.281</v>
      </c>
      <c r="O95" s="10">
        <f t="shared" si="6"/>
        <v>38.14729021</v>
      </c>
      <c r="R95" s="1" t="s">
        <v>115</v>
      </c>
      <c r="S95" s="1" t="s">
        <v>103</v>
      </c>
      <c r="U95" s="1">
        <f t="shared" si="7"/>
        <v>0.02097902098</v>
      </c>
      <c r="V95" s="1">
        <f t="shared" si="8"/>
        <v>0.01183533644</v>
      </c>
    </row>
    <row r="96" ht="14.25" customHeight="1">
      <c r="A96" s="1" t="s">
        <v>17</v>
      </c>
      <c r="B96" s="1" t="s">
        <v>132</v>
      </c>
      <c r="D96" s="6">
        <v>45828.0</v>
      </c>
      <c r="E96" s="1" t="s">
        <v>119</v>
      </c>
      <c r="H96" s="7">
        <v>0.719</v>
      </c>
      <c r="I96" s="7">
        <v>0.216</v>
      </c>
      <c r="J96" s="7">
        <v>0.034</v>
      </c>
      <c r="K96" s="7">
        <v>187.137</v>
      </c>
      <c r="L96" s="7">
        <v>3.0454999999999997</v>
      </c>
      <c r="M96" s="8">
        <f t="shared" si="5"/>
        <v>98.2975</v>
      </c>
      <c r="N96" s="7">
        <v>99.01650000000001</v>
      </c>
      <c r="O96" s="10">
        <f t="shared" si="6"/>
        <v>32.51239534</v>
      </c>
      <c r="R96" s="1" t="s">
        <v>115</v>
      </c>
      <c r="S96" s="1" t="s">
        <v>103</v>
      </c>
      <c r="U96" s="1">
        <f t="shared" si="7"/>
        <v>0.01116401248</v>
      </c>
      <c r="V96" s="1">
        <f t="shared" si="8"/>
        <v>0.009442870633</v>
      </c>
    </row>
    <row r="97" ht="14.25" customHeight="1">
      <c r="A97" s="1" t="s">
        <v>17</v>
      </c>
      <c r="B97" s="1" t="s">
        <v>133</v>
      </c>
      <c r="D97" s="6">
        <v>45828.0</v>
      </c>
      <c r="E97" s="1" t="s">
        <v>121</v>
      </c>
      <c r="H97" s="7">
        <v>0.467</v>
      </c>
      <c r="I97" s="7">
        <v>0.0</v>
      </c>
      <c r="J97" s="7">
        <v>0.042</v>
      </c>
      <c r="K97" s="7">
        <v>187.002</v>
      </c>
      <c r="L97" s="7">
        <v>2.6645</v>
      </c>
      <c r="M97" s="8">
        <f t="shared" si="5"/>
        <v>93.0565</v>
      </c>
      <c r="N97" s="7">
        <v>93.5235</v>
      </c>
      <c r="O97" s="10">
        <f t="shared" si="6"/>
        <v>35.09983111</v>
      </c>
      <c r="R97" s="1" t="s">
        <v>115</v>
      </c>
      <c r="S97" s="1" t="s">
        <v>103</v>
      </c>
      <c r="U97" s="1">
        <f t="shared" si="7"/>
        <v>0.01576280728</v>
      </c>
      <c r="V97" s="1">
        <f t="shared" si="8"/>
        <v>0.004993397381</v>
      </c>
    </row>
    <row r="98" ht="14.25" customHeight="1">
      <c r="A98" s="1" t="s">
        <v>17</v>
      </c>
      <c r="B98" s="1" t="s">
        <v>134</v>
      </c>
      <c r="D98" s="6">
        <v>45841.0</v>
      </c>
      <c r="E98" s="1" t="s">
        <v>114</v>
      </c>
      <c r="H98" s="7">
        <v>1.083</v>
      </c>
      <c r="I98" s="7">
        <v>0.285</v>
      </c>
      <c r="J98" s="7">
        <v>0.138</v>
      </c>
      <c r="K98" s="7">
        <v>305.42</v>
      </c>
      <c r="L98" s="7">
        <v>3.2714999999999996</v>
      </c>
      <c r="M98" s="8">
        <f t="shared" si="5"/>
        <v>93.0765</v>
      </c>
      <c r="N98" s="7">
        <v>94.15950000000001</v>
      </c>
      <c r="O98" s="10">
        <f t="shared" si="6"/>
        <v>28.78175149</v>
      </c>
      <c r="R98" s="1" t="s">
        <v>115</v>
      </c>
      <c r="S98" s="1" t="s">
        <v>103</v>
      </c>
      <c r="U98" s="1">
        <f t="shared" si="7"/>
        <v>0.0421824851</v>
      </c>
      <c r="V98" s="1">
        <f t="shared" si="8"/>
        <v>0.01452853934</v>
      </c>
    </row>
    <row r="99" ht="14.25" customHeight="1">
      <c r="A99" s="1" t="s">
        <v>17</v>
      </c>
      <c r="B99" s="1" t="s">
        <v>135</v>
      </c>
      <c r="D99" s="6">
        <v>45841.0</v>
      </c>
      <c r="E99" s="1" t="s">
        <v>117</v>
      </c>
      <c r="H99" s="7">
        <v>3.299</v>
      </c>
      <c r="I99" s="7">
        <v>4.195</v>
      </c>
      <c r="J99" s="7">
        <v>0.368</v>
      </c>
      <c r="K99" s="7">
        <v>303.18</v>
      </c>
      <c r="L99" s="7">
        <v>4.276999999999999</v>
      </c>
      <c r="M99" s="8">
        <f t="shared" si="5"/>
        <v>105.8945</v>
      </c>
      <c r="N99" s="7">
        <v>109.1935</v>
      </c>
      <c r="O99" s="10">
        <f t="shared" si="6"/>
        <v>25.53039514</v>
      </c>
      <c r="R99" s="1" t="s">
        <v>115</v>
      </c>
      <c r="S99" s="1" t="s">
        <v>103</v>
      </c>
      <c r="U99" s="1">
        <f t="shared" si="7"/>
        <v>0.08604161796</v>
      </c>
      <c r="V99" s="1">
        <f t="shared" si="8"/>
        <v>0.06863045877</v>
      </c>
    </row>
    <row r="100" ht="14.25" customHeight="1">
      <c r="A100" s="1" t="s">
        <v>17</v>
      </c>
      <c r="B100" s="1" t="s">
        <v>136</v>
      </c>
      <c r="D100" s="6">
        <v>45841.0</v>
      </c>
      <c r="E100" s="1" t="s">
        <v>119</v>
      </c>
      <c r="H100" s="7">
        <v>0.965</v>
      </c>
      <c r="I100" s="7">
        <v>2.322</v>
      </c>
      <c r="J100" s="7">
        <v>0.102</v>
      </c>
      <c r="K100" s="7">
        <v>315.25</v>
      </c>
      <c r="L100" s="7">
        <v>3.7915</v>
      </c>
      <c r="M100" s="8">
        <f t="shared" si="5"/>
        <v>97.7145</v>
      </c>
      <c r="N100" s="7">
        <v>98.67949999999999</v>
      </c>
      <c r="O100" s="10">
        <f t="shared" si="6"/>
        <v>26.02650666</v>
      </c>
      <c r="R100" s="1" t="s">
        <v>115</v>
      </c>
      <c r="S100" s="1" t="s">
        <v>103</v>
      </c>
      <c r="U100" s="1">
        <f t="shared" si="7"/>
        <v>0.02690228142</v>
      </c>
      <c r="V100" s="1">
        <f t="shared" si="8"/>
        <v>0.03330985666</v>
      </c>
    </row>
    <row r="101" ht="14.25" customHeight="1">
      <c r="A101" s="1" t="s">
        <v>17</v>
      </c>
      <c r="B101" s="1" t="s">
        <v>137</v>
      </c>
      <c r="D101" s="6">
        <v>45841.0</v>
      </c>
      <c r="E101" s="1" t="s">
        <v>121</v>
      </c>
      <c r="H101" s="7">
        <v>1.327</v>
      </c>
      <c r="I101" s="7">
        <v>0.0</v>
      </c>
      <c r="J101" s="7">
        <v>0.082</v>
      </c>
      <c r="K101" s="7">
        <v>281.56</v>
      </c>
      <c r="L101" s="7">
        <v>4.186</v>
      </c>
      <c r="M101" s="8">
        <f t="shared" si="5"/>
        <v>117.6265</v>
      </c>
      <c r="N101" s="7">
        <v>118.95349999999999</v>
      </c>
      <c r="O101" s="10">
        <f t="shared" si="6"/>
        <v>28.41698519</v>
      </c>
      <c r="R101" s="1" t="s">
        <v>115</v>
      </c>
      <c r="S101" s="1" t="s">
        <v>103</v>
      </c>
      <c r="U101" s="1">
        <f t="shared" si="7"/>
        <v>0.01958910655</v>
      </c>
      <c r="V101" s="1">
        <f t="shared" si="8"/>
        <v>0.01115561963</v>
      </c>
    </row>
    <row r="102" ht="14.25" customHeight="1">
      <c r="A102" s="1" t="s">
        <v>17</v>
      </c>
      <c r="B102" s="1" t="s">
        <v>138</v>
      </c>
      <c r="D102" s="6">
        <v>45856.0</v>
      </c>
      <c r="E102" s="1" t="s">
        <v>114</v>
      </c>
      <c r="H102" s="7">
        <v>0.738</v>
      </c>
      <c r="I102" s="7">
        <v>0.335</v>
      </c>
      <c r="J102" s="7">
        <v>0.097</v>
      </c>
      <c r="K102" s="7">
        <v>340.42</v>
      </c>
      <c r="L102" s="7">
        <v>3.9705000000000004</v>
      </c>
      <c r="M102" s="8">
        <f t="shared" si="5"/>
        <v>100.8125</v>
      </c>
      <c r="N102" s="7">
        <v>101.5505</v>
      </c>
      <c r="O102" s="10">
        <f t="shared" si="6"/>
        <v>25.57624984</v>
      </c>
      <c r="R102" s="1" t="s">
        <v>115</v>
      </c>
      <c r="S102" s="1" t="s">
        <v>103</v>
      </c>
      <c r="U102" s="1">
        <f t="shared" si="7"/>
        <v>0.02443017252</v>
      </c>
      <c r="V102" s="1">
        <f t="shared" si="8"/>
        <v>0.01056617151</v>
      </c>
    </row>
    <row r="103" ht="14.25" customHeight="1">
      <c r="A103" s="1" t="s">
        <v>17</v>
      </c>
      <c r="B103" s="1" t="s">
        <v>139</v>
      </c>
      <c r="D103" s="6">
        <v>45856.0</v>
      </c>
      <c r="E103" s="1" t="s">
        <v>117</v>
      </c>
      <c r="H103" s="7">
        <v>0.101</v>
      </c>
      <c r="I103" s="7">
        <v>1.045</v>
      </c>
      <c r="J103" s="7">
        <v>0.096</v>
      </c>
      <c r="K103" s="7">
        <v>347.59000000000003</v>
      </c>
      <c r="L103" s="7">
        <v>3.9265</v>
      </c>
      <c r="M103" s="8">
        <f t="shared" si="5"/>
        <v>101.4355</v>
      </c>
      <c r="N103" s="7">
        <v>101.53649999999999</v>
      </c>
      <c r="O103" s="10">
        <f t="shared" si="6"/>
        <v>25.85928944</v>
      </c>
      <c r="R103" s="1" t="s">
        <v>115</v>
      </c>
      <c r="S103" s="1" t="s">
        <v>103</v>
      </c>
      <c r="U103" s="1">
        <f t="shared" si="7"/>
        <v>0.02444925506</v>
      </c>
      <c r="V103" s="1">
        <f t="shared" si="8"/>
        <v>0.01128658167</v>
      </c>
    </row>
    <row r="104" ht="14.25" customHeight="1">
      <c r="A104" s="1" t="s">
        <v>17</v>
      </c>
      <c r="B104" s="1" t="s">
        <v>140</v>
      </c>
      <c r="D104" s="6">
        <v>45856.0</v>
      </c>
      <c r="E104" s="1" t="s">
        <v>119</v>
      </c>
      <c r="H104" s="7">
        <v>0.775</v>
      </c>
      <c r="I104" s="7">
        <v>0.291</v>
      </c>
      <c r="J104" s="7">
        <v>0.087</v>
      </c>
      <c r="K104" s="7">
        <v>338.59000000000003</v>
      </c>
      <c r="L104" s="7">
        <v>8.878</v>
      </c>
      <c r="M104" s="8">
        <f t="shared" si="5"/>
        <v>159.215</v>
      </c>
      <c r="N104" s="7">
        <v>159.99</v>
      </c>
      <c r="O104" s="10">
        <f t="shared" si="6"/>
        <v>18.02095066</v>
      </c>
      <c r="R104" s="1" t="s">
        <v>115</v>
      </c>
      <c r="S104" s="1" t="s">
        <v>103</v>
      </c>
      <c r="U104" s="1">
        <f t="shared" si="7"/>
        <v>0.009799504393</v>
      </c>
      <c r="V104" s="1">
        <f t="shared" si="8"/>
        <v>0.006662916432</v>
      </c>
    </row>
    <row r="105" ht="14.25" customHeight="1">
      <c r="A105" s="1" t="s">
        <v>17</v>
      </c>
      <c r="B105" s="1" t="s">
        <v>141</v>
      </c>
      <c r="D105" s="6">
        <v>45856.0</v>
      </c>
      <c r="E105" s="1" t="s">
        <v>121</v>
      </c>
      <c r="H105" s="7">
        <v>0.88</v>
      </c>
      <c r="I105" s="7">
        <v>1.598</v>
      </c>
      <c r="J105" s="7">
        <v>0.083</v>
      </c>
      <c r="K105" s="7">
        <v>343.78</v>
      </c>
      <c r="L105" s="7">
        <v>4.604</v>
      </c>
      <c r="M105" s="8">
        <f t="shared" si="5"/>
        <v>108.3635</v>
      </c>
      <c r="N105" s="7">
        <v>109.24350000000001</v>
      </c>
      <c r="O105" s="10">
        <f t="shared" si="6"/>
        <v>23.72795395</v>
      </c>
      <c r="R105" s="1" t="s">
        <v>115</v>
      </c>
      <c r="S105" s="1" t="s">
        <v>103</v>
      </c>
      <c r="U105" s="1">
        <f t="shared" si="7"/>
        <v>0.01802780191</v>
      </c>
      <c r="V105" s="1">
        <f t="shared" si="8"/>
        <v>0.02268327177</v>
      </c>
    </row>
    <row r="106" ht="14.25" customHeight="1">
      <c r="A106" s="1" t="s">
        <v>17</v>
      </c>
      <c r="B106" s="1" t="s">
        <v>142</v>
      </c>
      <c r="D106" s="6">
        <v>45856.0</v>
      </c>
      <c r="E106" s="1" t="s">
        <v>143</v>
      </c>
      <c r="H106" s="7">
        <v>0.428</v>
      </c>
      <c r="I106" s="7">
        <v>114.97</v>
      </c>
      <c r="J106" s="7">
        <v>0.041</v>
      </c>
      <c r="K106" s="7">
        <v>173.532</v>
      </c>
      <c r="L106" s="7">
        <v>5.1585</v>
      </c>
      <c r="M106" s="8">
        <f t="shared" si="5"/>
        <v>116.614</v>
      </c>
      <c r="N106" s="7">
        <v>117.042</v>
      </c>
      <c r="O106" s="10">
        <f t="shared" si="6"/>
        <v>22.68915382</v>
      </c>
      <c r="R106" s="1" t="s">
        <v>115</v>
      </c>
      <c r="S106" s="1" t="s">
        <v>103</v>
      </c>
      <c r="U106" s="1">
        <f t="shared" si="7"/>
        <v>0.007948046913</v>
      </c>
      <c r="V106" s="1">
        <f t="shared" si="8"/>
        <v>0.9859537602</v>
      </c>
    </row>
    <row r="107" ht="14.25" customHeight="1">
      <c r="H107" s="7"/>
      <c r="I107" s="7"/>
      <c r="J107" s="7"/>
      <c r="K107" s="7"/>
      <c r="L107" s="7"/>
      <c r="M107" s="8"/>
      <c r="N107" s="7"/>
      <c r="O107" s="10"/>
    </row>
    <row r="108" ht="14.25" customHeight="1">
      <c r="H108" s="7"/>
      <c r="I108" s="7"/>
      <c r="J108" s="7"/>
      <c r="K108" s="7"/>
      <c r="L108" s="7"/>
      <c r="M108" s="8"/>
      <c r="N108" s="7"/>
      <c r="O108" s="10"/>
    </row>
    <row r="109" ht="14.25" customHeight="1">
      <c r="A109" s="1" t="s">
        <v>144</v>
      </c>
      <c r="B109" s="1" t="s">
        <v>145</v>
      </c>
      <c r="C109" s="6">
        <v>45867.0</v>
      </c>
      <c r="D109" s="6">
        <v>45867.0</v>
      </c>
      <c r="E109" s="1" t="s">
        <v>19</v>
      </c>
      <c r="H109" s="7">
        <v>54.219</v>
      </c>
      <c r="I109" s="7">
        <v>10.243</v>
      </c>
      <c r="J109" s="7">
        <v>1.548</v>
      </c>
      <c r="K109" s="7">
        <v>77.982</v>
      </c>
      <c r="L109" s="7">
        <v>7.199</v>
      </c>
      <c r="M109" s="8">
        <f t="shared" ref="M109:M215" si="9">N109-H109</f>
        <v>91.634</v>
      </c>
      <c r="N109" s="7">
        <v>145.853</v>
      </c>
      <c r="O109" s="10">
        <f t="shared" ref="O109:O215" si="10">N109/L109</f>
        <v>20.26017502</v>
      </c>
      <c r="R109" s="1" t="s">
        <v>115</v>
      </c>
      <c r="S109" s="1" t="s">
        <v>103</v>
      </c>
      <c r="U109" s="1">
        <f t="shared" ref="U109:U215" si="11">J109/L109</f>
        <v>0.2150298653</v>
      </c>
      <c r="V109" s="1">
        <f t="shared" ref="V109:V215" si="12">(H109+I109)/N109</f>
        <v>0.4419655406</v>
      </c>
    </row>
    <row r="110" ht="14.25" customHeight="1">
      <c r="A110" s="1" t="s">
        <v>144</v>
      </c>
      <c r="B110" s="1" t="s">
        <v>146</v>
      </c>
      <c r="C110" s="6">
        <v>45867.0</v>
      </c>
      <c r="D110" s="6">
        <v>45867.0</v>
      </c>
      <c r="E110" s="1" t="s">
        <v>23</v>
      </c>
      <c r="H110" s="7">
        <v>2.869</v>
      </c>
      <c r="I110" s="7">
        <v>1.637</v>
      </c>
      <c r="J110" s="7">
        <v>0.921</v>
      </c>
      <c r="K110" s="7">
        <v>22.059</v>
      </c>
      <c r="L110" s="7">
        <v>6.967</v>
      </c>
      <c r="M110" s="8">
        <f t="shared" si="9"/>
        <v>130.7995</v>
      </c>
      <c r="N110" s="7">
        <v>133.6685</v>
      </c>
      <c r="O110" s="10">
        <f t="shared" si="10"/>
        <v>19.18594804</v>
      </c>
      <c r="R110" s="1" t="s">
        <v>115</v>
      </c>
      <c r="S110" s="1" t="s">
        <v>103</v>
      </c>
      <c r="U110" s="1">
        <f t="shared" si="11"/>
        <v>0.1321946318</v>
      </c>
      <c r="V110" s="1">
        <f t="shared" si="12"/>
        <v>0.03371026083</v>
      </c>
    </row>
    <row r="111" ht="14.25" customHeight="1">
      <c r="A111" s="1" t="s">
        <v>144</v>
      </c>
      <c r="B111" s="1" t="s">
        <v>147</v>
      </c>
      <c r="C111" s="6">
        <v>45867.0</v>
      </c>
      <c r="D111" s="6">
        <v>45867.0</v>
      </c>
      <c r="E111" s="1" t="s">
        <v>25</v>
      </c>
      <c r="H111" s="7">
        <v>0.711</v>
      </c>
      <c r="I111" s="7">
        <v>0.335</v>
      </c>
      <c r="J111" s="7">
        <v>0.156</v>
      </c>
      <c r="K111" s="7">
        <v>20.896</v>
      </c>
      <c r="L111" s="7">
        <v>5.1835</v>
      </c>
      <c r="M111" s="8">
        <f t="shared" si="9"/>
        <v>118.7555</v>
      </c>
      <c r="N111" s="7">
        <v>119.4665</v>
      </c>
      <c r="O111" s="10">
        <f t="shared" si="10"/>
        <v>23.04745828</v>
      </c>
      <c r="R111" s="1" t="s">
        <v>115</v>
      </c>
      <c r="S111" s="1" t="s">
        <v>103</v>
      </c>
      <c r="U111" s="1">
        <f t="shared" si="11"/>
        <v>0.03009549532</v>
      </c>
      <c r="V111" s="1">
        <f t="shared" si="12"/>
        <v>0.008755592572</v>
      </c>
    </row>
    <row r="112" ht="14.25" customHeight="1">
      <c r="A112" s="1" t="s">
        <v>144</v>
      </c>
      <c r="B112" s="1" t="s">
        <v>148</v>
      </c>
      <c r="C112" s="6">
        <v>45867.0</v>
      </c>
      <c r="D112" s="6">
        <v>45867.0</v>
      </c>
      <c r="E112" s="1" t="s">
        <v>149</v>
      </c>
      <c r="H112" s="7">
        <v>2.401</v>
      </c>
      <c r="I112" s="7">
        <v>2.7</v>
      </c>
      <c r="J112" s="7">
        <v>1.037</v>
      </c>
      <c r="K112" s="7">
        <v>44.074</v>
      </c>
      <c r="L112" s="7">
        <v>5.838</v>
      </c>
      <c r="M112" s="8">
        <f t="shared" si="9"/>
        <v>103.178</v>
      </c>
      <c r="N112" s="7">
        <v>105.57900000000001</v>
      </c>
      <c r="O112" s="10">
        <f t="shared" si="10"/>
        <v>18.08478931</v>
      </c>
      <c r="R112" s="1" t="s">
        <v>115</v>
      </c>
      <c r="S112" s="1" t="s">
        <v>103</v>
      </c>
      <c r="U112" s="1">
        <f t="shared" si="11"/>
        <v>0.1776293251</v>
      </c>
      <c r="V112" s="1">
        <f t="shared" si="12"/>
        <v>0.04831453225</v>
      </c>
    </row>
    <row r="113" ht="14.25" customHeight="1">
      <c r="A113" s="1" t="s">
        <v>144</v>
      </c>
      <c r="B113" s="1" t="s">
        <v>150</v>
      </c>
      <c r="C113" s="6">
        <v>45867.0</v>
      </c>
      <c r="D113" s="6">
        <v>45867.0</v>
      </c>
      <c r="E113" s="1" t="s">
        <v>29</v>
      </c>
      <c r="H113" s="7">
        <v>1.164</v>
      </c>
      <c r="I113" s="7">
        <v>0.421</v>
      </c>
      <c r="J113" s="7">
        <v>0.326</v>
      </c>
      <c r="K113" s="7">
        <v>83.603</v>
      </c>
      <c r="L113" s="7">
        <v>3.7824999999999998</v>
      </c>
      <c r="M113" s="8">
        <f t="shared" si="9"/>
        <v>70.4945</v>
      </c>
      <c r="N113" s="7">
        <v>71.6585</v>
      </c>
      <c r="O113" s="10">
        <f t="shared" si="10"/>
        <v>18.94474554</v>
      </c>
      <c r="R113" s="1" t="s">
        <v>115</v>
      </c>
      <c r="S113" s="1" t="s">
        <v>103</v>
      </c>
      <c r="U113" s="1">
        <f t="shared" si="11"/>
        <v>0.08618638467</v>
      </c>
      <c r="V113" s="1">
        <f t="shared" si="12"/>
        <v>0.02211879958</v>
      </c>
    </row>
    <row r="114" ht="14.25" customHeight="1">
      <c r="A114" s="1" t="s">
        <v>144</v>
      </c>
      <c r="B114" s="1" t="s">
        <v>151</v>
      </c>
      <c r="C114" s="6">
        <v>45867.0</v>
      </c>
      <c r="D114" s="6">
        <v>45867.0</v>
      </c>
      <c r="E114" s="1" t="s">
        <v>152</v>
      </c>
      <c r="H114" s="7">
        <v>1.382</v>
      </c>
      <c r="I114" s="7">
        <v>3.946</v>
      </c>
      <c r="J114" s="7">
        <v>0.311</v>
      </c>
      <c r="K114" s="7">
        <v>75.999</v>
      </c>
      <c r="L114" s="7">
        <v>3.3804999999999996</v>
      </c>
      <c r="M114" s="8">
        <f t="shared" si="9"/>
        <v>68.4565</v>
      </c>
      <c r="N114" s="7">
        <v>69.83850000000001</v>
      </c>
      <c r="O114" s="10">
        <f t="shared" si="10"/>
        <v>20.65922201</v>
      </c>
      <c r="R114" s="1" t="s">
        <v>115</v>
      </c>
      <c r="S114" s="1" t="s">
        <v>103</v>
      </c>
      <c r="U114" s="1">
        <f t="shared" si="11"/>
        <v>0.09199822511</v>
      </c>
      <c r="V114" s="1">
        <f t="shared" si="12"/>
        <v>0.07629029833</v>
      </c>
    </row>
    <row r="115" ht="14.25" customHeight="1">
      <c r="A115" s="1" t="s">
        <v>144</v>
      </c>
      <c r="B115" s="1" t="s">
        <v>153</v>
      </c>
      <c r="C115" s="6">
        <v>45867.0</v>
      </c>
      <c r="D115" s="6">
        <v>45867.0</v>
      </c>
      <c r="E115" s="1" t="s">
        <v>154</v>
      </c>
      <c r="H115" s="7">
        <v>2.79</v>
      </c>
      <c r="I115" s="7">
        <v>0.552</v>
      </c>
      <c r="J115" s="7">
        <v>0.097</v>
      </c>
      <c r="K115" s="7">
        <v>68.522</v>
      </c>
      <c r="L115" s="7">
        <v>3.0435</v>
      </c>
      <c r="M115" s="8">
        <f t="shared" si="9"/>
        <v>62.8705</v>
      </c>
      <c r="N115" s="7">
        <v>65.6605</v>
      </c>
      <c r="O115" s="10">
        <f t="shared" si="10"/>
        <v>21.57401019</v>
      </c>
      <c r="R115" s="1" t="s">
        <v>115</v>
      </c>
      <c r="S115" s="1" t="s">
        <v>103</v>
      </c>
      <c r="U115" s="1">
        <f t="shared" si="11"/>
        <v>0.03187120092</v>
      </c>
      <c r="V115" s="1">
        <f t="shared" si="12"/>
        <v>0.05089818079</v>
      </c>
    </row>
    <row r="116" ht="14.25" customHeight="1">
      <c r="A116" s="1" t="s">
        <v>144</v>
      </c>
      <c r="B116" s="1" t="s">
        <v>155</v>
      </c>
      <c r="C116" s="6">
        <v>45867.0</v>
      </c>
      <c r="D116" s="6">
        <v>45867.0</v>
      </c>
      <c r="E116" s="1" t="s">
        <v>156</v>
      </c>
      <c r="H116" s="7">
        <v>1.988</v>
      </c>
      <c r="I116" s="7">
        <v>0.228</v>
      </c>
      <c r="J116" s="7">
        <v>0.081</v>
      </c>
      <c r="K116" s="7">
        <v>52.662</v>
      </c>
      <c r="L116" s="7">
        <v>1.9885</v>
      </c>
      <c r="M116" s="8">
        <f t="shared" si="9"/>
        <v>54.7055</v>
      </c>
      <c r="N116" s="7">
        <v>56.6935</v>
      </c>
      <c r="O116" s="10">
        <f t="shared" si="10"/>
        <v>28.51068645</v>
      </c>
      <c r="R116" s="1" t="s">
        <v>115</v>
      </c>
      <c r="S116" s="1" t="s">
        <v>103</v>
      </c>
      <c r="U116" s="1">
        <f t="shared" si="11"/>
        <v>0.04073422178</v>
      </c>
      <c r="V116" s="1">
        <f t="shared" si="12"/>
        <v>0.03908737333</v>
      </c>
    </row>
    <row r="117" ht="14.25" customHeight="1">
      <c r="A117" s="1" t="s">
        <v>144</v>
      </c>
      <c r="B117" s="1" t="s">
        <v>157</v>
      </c>
      <c r="C117" s="6">
        <v>45867.0</v>
      </c>
      <c r="D117" s="6">
        <v>45867.0</v>
      </c>
      <c r="E117" s="1" t="s">
        <v>158</v>
      </c>
      <c r="H117" s="7">
        <v>1.079</v>
      </c>
      <c r="I117" s="7">
        <v>1.443</v>
      </c>
      <c r="J117" s="7">
        <v>0.055</v>
      </c>
      <c r="K117" s="7">
        <v>72.353</v>
      </c>
      <c r="L117" s="7">
        <v>2.5985</v>
      </c>
      <c r="M117" s="8">
        <f t="shared" si="9"/>
        <v>59.073</v>
      </c>
      <c r="N117" s="7">
        <v>60.152</v>
      </c>
      <c r="O117" s="10">
        <f t="shared" si="10"/>
        <v>23.14873966</v>
      </c>
      <c r="R117" s="1" t="s">
        <v>115</v>
      </c>
      <c r="S117" s="1" t="s">
        <v>103</v>
      </c>
      <c r="U117" s="1">
        <f t="shared" si="11"/>
        <v>0.02116605734</v>
      </c>
      <c r="V117" s="1">
        <f t="shared" si="12"/>
        <v>0.04192711797</v>
      </c>
    </row>
    <row r="118" ht="14.25" customHeight="1">
      <c r="A118" s="1" t="s">
        <v>144</v>
      </c>
      <c r="B118" s="1" t="s">
        <v>159</v>
      </c>
      <c r="C118" s="6">
        <v>45867.0</v>
      </c>
      <c r="D118" s="6">
        <v>45867.0</v>
      </c>
      <c r="E118" s="1" t="s">
        <v>39</v>
      </c>
      <c r="H118" s="7">
        <v>16.672</v>
      </c>
      <c r="I118" s="7">
        <v>1.505</v>
      </c>
      <c r="J118" s="7">
        <v>0.058</v>
      </c>
      <c r="K118" s="7">
        <v>21.047</v>
      </c>
      <c r="L118" s="7">
        <v>0.7725</v>
      </c>
      <c r="M118" s="8">
        <f t="shared" si="9"/>
        <v>27.2525</v>
      </c>
      <c r="N118" s="7">
        <v>43.9245</v>
      </c>
      <c r="O118" s="10">
        <f t="shared" si="10"/>
        <v>56.86019417</v>
      </c>
      <c r="R118" s="1" t="s">
        <v>115</v>
      </c>
      <c r="S118" s="1" t="s">
        <v>103</v>
      </c>
      <c r="U118" s="1">
        <f t="shared" si="11"/>
        <v>0.07508090615</v>
      </c>
      <c r="V118" s="1">
        <f t="shared" si="12"/>
        <v>0.4138237202</v>
      </c>
    </row>
    <row r="119" ht="14.25" customHeight="1">
      <c r="A119" s="1" t="s">
        <v>144</v>
      </c>
      <c r="B119" s="1" t="s">
        <v>160</v>
      </c>
      <c r="C119" s="6">
        <v>45874.0</v>
      </c>
      <c r="D119" s="6">
        <v>45874.0</v>
      </c>
      <c r="E119" s="1" t="s">
        <v>19</v>
      </c>
      <c r="H119" s="7">
        <v>61.054</v>
      </c>
      <c r="I119" s="7">
        <v>0.984</v>
      </c>
      <c r="J119" s="7">
        <v>0.854</v>
      </c>
      <c r="K119" s="7">
        <v>103.624</v>
      </c>
      <c r="L119" s="7">
        <v>5.762499999999999</v>
      </c>
      <c r="M119" s="8">
        <f t="shared" si="9"/>
        <v>79.8765</v>
      </c>
      <c r="N119" s="7">
        <v>140.9305</v>
      </c>
      <c r="O119" s="10">
        <f t="shared" si="10"/>
        <v>24.4564859</v>
      </c>
      <c r="R119" s="1" t="s">
        <v>115</v>
      </c>
      <c r="S119" s="1" t="s">
        <v>103</v>
      </c>
      <c r="U119" s="1">
        <f t="shared" si="11"/>
        <v>0.1481995662</v>
      </c>
      <c r="V119" s="1">
        <f t="shared" si="12"/>
        <v>0.440202795</v>
      </c>
    </row>
    <row r="120" ht="14.25" customHeight="1">
      <c r="A120" s="1" t="s">
        <v>144</v>
      </c>
      <c r="B120" s="1" t="s">
        <v>161</v>
      </c>
      <c r="C120" s="6">
        <v>45874.0</v>
      </c>
      <c r="D120" s="6">
        <v>45874.0</v>
      </c>
      <c r="E120" s="1" t="s">
        <v>23</v>
      </c>
      <c r="H120" s="7">
        <v>21.851</v>
      </c>
      <c r="I120" s="7">
        <v>1.588</v>
      </c>
      <c r="J120" s="7">
        <v>0.369</v>
      </c>
      <c r="K120" s="7">
        <v>72.946</v>
      </c>
      <c r="L120" s="7">
        <v>5.71</v>
      </c>
      <c r="M120" s="8">
        <f t="shared" si="9"/>
        <v>103.615</v>
      </c>
      <c r="N120" s="7">
        <v>125.466</v>
      </c>
      <c r="O120" s="10">
        <f t="shared" si="10"/>
        <v>21.97302977</v>
      </c>
      <c r="R120" s="1" t="s">
        <v>115</v>
      </c>
      <c r="S120" s="1" t="s">
        <v>103</v>
      </c>
      <c r="U120" s="1">
        <f t="shared" si="11"/>
        <v>0.0646234676</v>
      </c>
      <c r="V120" s="1">
        <f t="shared" si="12"/>
        <v>0.1868155516</v>
      </c>
    </row>
    <row r="121" ht="14.25" customHeight="1">
      <c r="A121" s="1" t="s">
        <v>144</v>
      </c>
      <c r="B121" s="1" t="s">
        <v>162</v>
      </c>
      <c r="C121" s="6">
        <v>45874.0</v>
      </c>
      <c r="D121" s="6">
        <v>45874.0</v>
      </c>
      <c r="E121" s="1" t="s">
        <v>25</v>
      </c>
      <c r="H121" s="7">
        <v>0.383</v>
      </c>
      <c r="I121" s="7">
        <v>0.558</v>
      </c>
      <c r="J121" s="7">
        <v>0.159</v>
      </c>
      <c r="K121" s="7">
        <v>26.882</v>
      </c>
      <c r="L121" s="7">
        <v>5.5455000000000005</v>
      </c>
      <c r="M121" s="8">
        <f t="shared" si="9"/>
        <v>126.398</v>
      </c>
      <c r="N121" s="7">
        <v>126.781</v>
      </c>
      <c r="O121" s="10">
        <f t="shared" si="10"/>
        <v>22.86196015</v>
      </c>
      <c r="R121" s="1" t="s">
        <v>115</v>
      </c>
      <c r="S121" s="1" t="s">
        <v>103</v>
      </c>
      <c r="U121" s="1">
        <f t="shared" si="11"/>
        <v>0.02867189613</v>
      </c>
      <c r="V121" s="1">
        <f t="shared" si="12"/>
        <v>0.007422247813</v>
      </c>
    </row>
    <row r="122" ht="14.25" customHeight="1">
      <c r="A122" s="1" t="s">
        <v>144</v>
      </c>
      <c r="B122" s="1" t="s">
        <v>163</v>
      </c>
      <c r="C122" s="6">
        <v>45874.0</v>
      </c>
      <c r="D122" s="6">
        <v>45874.0</v>
      </c>
      <c r="E122" s="1" t="s">
        <v>149</v>
      </c>
      <c r="H122" s="7">
        <v>0.651</v>
      </c>
      <c r="I122" s="7">
        <v>104.11</v>
      </c>
      <c r="J122" s="7">
        <v>0.306</v>
      </c>
      <c r="K122" s="7">
        <v>34.257</v>
      </c>
      <c r="L122" s="7">
        <v>5.1995000000000005</v>
      </c>
      <c r="M122" s="8">
        <f t="shared" si="9"/>
        <v>113.196</v>
      </c>
      <c r="N122" s="7">
        <v>113.84700000000001</v>
      </c>
      <c r="O122" s="10">
        <f t="shared" si="10"/>
        <v>21.89575921</v>
      </c>
      <c r="R122" s="1" t="s">
        <v>115</v>
      </c>
      <c r="S122" s="1" t="s">
        <v>103</v>
      </c>
      <c r="U122" s="1">
        <f t="shared" si="11"/>
        <v>0.05885181267</v>
      </c>
      <c r="V122" s="1">
        <f t="shared" si="12"/>
        <v>0.9201911337</v>
      </c>
    </row>
    <row r="123" ht="14.25" customHeight="1">
      <c r="A123" s="1" t="s">
        <v>144</v>
      </c>
      <c r="B123" s="1" t="s">
        <v>164</v>
      </c>
      <c r="C123" s="6">
        <v>45874.0</v>
      </c>
      <c r="D123" s="6">
        <v>45874.0</v>
      </c>
      <c r="E123" s="1" t="s">
        <v>29</v>
      </c>
      <c r="H123" s="7">
        <v>0.306</v>
      </c>
      <c r="I123" s="7">
        <v>5.615</v>
      </c>
      <c r="J123" s="7">
        <v>0.911</v>
      </c>
      <c r="K123" s="7">
        <v>37.674</v>
      </c>
      <c r="L123" s="7">
        <v>5.394</v>
      </c>
      <c r="M123" s="8">
        <f t="shared" si="9"/>
        <v>100.8575</v>
      </c>
      <c r="N123" s="7">
        <v>101.1635</v>
      </c>
      <c r="O123" s="10">
        <f t="shared" si="10"/>
        <v>18.75482017</v>
      </c>
      <c r="R123" s="1" t="s">
        <v>115</v>
      </c>
      <c r="S123" s="1" t="s">
        <v>103</v>
      </c>
      <c r="U123" s="1">
        <f t="shared" si="11"/>
        <v>0.1688913608</v>
      </c>
      <c r="V123" s="1">
        <f t="shared" si="12"/>
        <v>0.05852901491</v>
      </c>
    </row>
    <row r="124" ht="14.25" customHeight="1">
      <c r="A124" s="1" t="s">
        <v>144</v>
      </c>
      <c r="B124" s="1" t="s">
        <v>165</v>
      </c>
      <c r="C124" s="6">
        <v>45874.0</v>
      </c>
      <c r="D124" s="6">
        <v>45874.0</v>
      </c>
      <c r="E124" s="1" t="s">
        <v>156</v>
      </c>
      <c r="H124" s="7">
        <v>2.056</v>
      </c>
      <c r="I124" s="7">
        <v>2.07</v>
      </c>
      <c r="J124" s="7">
        <v>0.117</v>
      </c>
      <c r="K124" s="7">
        <v>57.385</v>
      </c>
      <c r="L124" s="7">
        <v>3.2279999999999998</v>
      </c>
      <c r="M124" s="8">
        <f t="shared" si="9"/>
        <v>71.362</v>
      </c>
      <c r="N124" s="7">
        <v>73.418</v>
      </c>
      <c r="O124" s="10">
        <f t="shared" si="10"/>
        <v>22.744114</v>
      </c>
      <c r="R124" s="1" t="s">
        <v>115</v>
      </c>
      <c r="S124" s="1" t="s">
        <v>103</v>
      </c>
      <c r="U124" s="1">
        <f t="shared" si="11"/>
        <v>0.03624535316</v>
      </c>
      <c r="V124" s="1">
        <f t="shared" si="12"/>
        <v>0.05619875235</v>
      </c>
    </row>
    <row r="125" ht="14.25" customHeight="1">
      <c r="A125" s="1" t="s">
        <v>144</v>
      </c>
      <c r="B125" s="1" t="s">
        <v>166</v>
      </c>
      <c r="C125" s="6">
        <v>45874.0</v>
      </c>
      <c r="D125" s="6">
        <v>45874.0</v>
      </c>
      <c r="E125" s="1" t="s">
        <v>158</v>
      </c>
      <c r="H125" s="7">
        <v>1.299</v>
      </c>
      <c r="I125" s="7">
        <v>3.206</v>
      </c>
      <c r="J125" s="7">
        <v>0.072</v>
      </c>
      <c r="K125" s="7">
        <v>58.221</v>
      </c>
      <c r="L125" s="7">
        <v>2.779</v>
      </c>
      <c r="M125" s="8">
        <f t="shared" si="9"/>
        <v>66.359</v>
      </c>
      <c r="N125" s="7">
        <v>67.658</v>
      </c>
      <c r="O125" s="10">
        <f t="shared" si="10"/>
        <v>24.34616769</v>
      </c>
      <c r="R125" s="1" t="s">
        <v>115</v>
      </c>
      <c r="S125" s="1" t="s">
        <v>103</v>
      </c>
      <c r="U125" s="1">
        <f t="shared" si="11"/>
        <v>0.02590860022</v>
      </c>
      <c r="V125" s="1">
        <f t="shared" si="12"/>
        <v>0.06658488279</v>
      </c>
    </row>
    <row r="126" ht="14.25" customHeight="1">
      <c r="A126" s="1" t="s">
        <v>144</v>
      </c>
      <c r="B126" s="1" t="s">
        <v>167</v>
      </c>
      <c r="C126" s="6">
        <v>45874.0</v>
      </c>
      <c r="D126" s="6">
        <v>45874.0</v>
      </c>
      <c r="E126" s="1" t="s">
        <v>39</v>
      </c>
      <c r="H126" s="7">
        <v>18.737</v>
      </c>
      <c r="I126" s="7">
        <v>2.03</v>
      </c>
      <c r="J126" s="7">
        <v>0.217</v>
      </c>
      <c r="K126" s="7">
        <v>29.163</v>
      </c>
      <c r="L126" s="7">
        <v>1.9009999999999998</v>
      </c>
      <c r="M126" s="8">
        <f t="shared" si="9"/>
        <v>38.423</v>
      </c>
      <c r="N126" s="7">
        <v>57.16</v>
      </c>
      <c r="O126" s="10">
        <f t="shared" si="10"/>
        <v>30.06838506</v>
      </c>
      <c r="R126" s="1" t="s">
        <v>115</v>
      </c>
      <c r="S126" s="1" t="s">
        <v>103</v>
      </c>
      <c r="U126" s="1">
        <f t="shared" si="11"/>
        <v>0.1141504471</v>
      </c>
      <c r="V126" s="1">
        <f t="shared" si="12"/>
        <v>0.3633135059</v>
      </c>
    </row>
    <row r="127" ht="14.25" customHeight="1">
      <c r="A127" s="1" t="s">
        <v>144</v>
      </c>
      <c r="B127" s="1" t="s">
        <v>168</v>
      </c>
      <c r="C127" s="6">
        <v>45881.0</v>
      </c>
      <c r="D127" s="6">
        <v>45881.0</v>
      </c>
      <c r="E127" s="1" t="s">
        <v>19</v>
      </c>
      <c r="H127" s="7">
        <v>27.717</v>
      </c>
      <c r="I127" s="7">
        <v>2.352</v>
      </c>
      <c r="J127" s="7">
        <v>1.384</v>
      </c>
      <c r="K127" s="7">
        <v>68.069</v>
      </c>
      <c r="L127" s="7">
        <v>8.187999999999999</v>
      </c>
      <c r="M127" s="8">
        <f t="shared" si="9"/>
        <v>108.024</v>
      </c>
      <c r="N127" s="7">
        <v>135.74099999999999</v>
      </c>
      <c r="O127" s="10">
        <f t="shared" si="10"/>
        <v>16.57804104</v>
      </c>
      <c r="R127" s="1" t="s">
        <v>115</v>
      </c>
      <c r="S127" s="1" t="s">
        <v>169</v>
      </c>
      <c r="U127" s="1">
        <f t="shared" si="11"/>
        <v>0.1690278456</v>
      </c>
      <c r="V127" s="1">
        <f t="shared" si="12"/>
        <v>0.2215174487</v>
      </c>
    </row>
    <row r="128" ht="14.25" customHeight="1">
      <c r="A128" s="1" t="s">
        <v>144</v>
      </c>
      <c r="B128" s="1" t="s">
        <v>170</v>
      </c>
      <c r="C128" s="6">
        <v>45881.0</v>
      </c>
      <c r="D128" s="6">
        <v>45881.0</v>
      </c>
      <c r="E128" s="1" t="s">
        <v>23</v>
      </c>
      <c r="H128" s="7">
        <v>0.559</v>
      </c>
      <c r="I128" s="7">
        <v>2.533</v>
      </c>
      <c r="J128" s="7">
        <v>0.547</v>
      </c>
      <c r="K128" s="7">
        <v>44.423</v>
      </c>
      <c r="L128" s="7">
        <v>6.4384999999999994</v>
      </c>
      <c r="M128" s="8">
        <f t="shared" si="9"/>
        <v>122.0915</v>
      </c>
      <c r="N128" s="7">
        <v>122.6505</v>
      </c>
      <c r="O128" s="10">
        <f t="shared" si="10"/>
        <v>19.0495457</v>
      </c>
      <c r="R128" s="1" t="s">
        <v>115</v>
      </c>
      <c r="S128" s="1" t="s">
        <v>169</v>
      </c>
      <c r="U128" s="1">
        <f t="shared" si="11"/>
        <v>0.08495767648</v>
      </c>
      <c r="V128" s="1">
        <f t="shared" si="12"/>
        <v>0.02520984423</v>
      </c>
    </row>
    <row r="129" ht="14.25" customHeight="1">
      <c r="A129" s="1" t="s">
        <v>144</v>
      </c>
      <c r="B129" s="1" t="s">
        <v>171</v>
      </c>
      <c r="C129" s="6">
        <v>45881.0</v>
      </c>
      <c r="D129" s="6">
        <v>45881.0</v>
      </c>
      <c r="E129" s="1" t="s">
        <v>25</v>
      </c>
      <c r="H129" s="7">
        <v>0.552</v>
      </c>
      <c r="I129" s="7">
        <v>4.34</v>
      </c>
      <c r="J129" s="7">
        <v>0.722</v>
      </c>
      <c r="K129" s="7">
        <v>60.038</v>
      </c>
      <c r="L129" s="7">
        <v>6.01</v>
      </c>
      <c r="M129" s="8">
        <f t="shared" si="9"/>
        <v>116.7335</v>
      </c>
      <c r="N129" s="7">
        <v>117.2855</v>
      </c>
      <c r="O129" s="10">
        <f t="shared" si="10"/>
        <v>19.51505824</v>
      </c>
      <c r="R129" s="1" t="s">
        <v>115</v>
      </c>
      <c r="S129" s="1" t="s">
        <v>169</v>
      </c>
      <c r="U129" s="1">
        <f t="shared" si="11"/>
        <v>0.1201331115</v>
      </c>
      <c r="V129" s="1">
        <f t="shared" si="12"/>
        <v>0.04171018583</v>
      </c>
    </row>
    <row r="130" ht="14.25" customHeight="1">
      <c r="A130" s="1" t="s">
        <v>144</v>
      </c>
      <c r="B130" s="1" t="s">
        <v>172</v>
      </c>
      <c r="C130" s="6">
        <v>45881.0</v>
      </c>
      <c r="D130" s="6">
        <v>45881.0</v>
      </c>
      <c r="E130" s="1" t="s">
        <v>149</v>
      </c>
      <c r="H130" s="7">
        <v>0.507</v>
      </c>
      <c r="I130" s="7">
        <v>0.614</v>
      </c>
      <c r="J130" s="7">
        <v>1.144</v>
      </c>
      <c r="K130" s="7">
        <v>65.326</v>
      </c>
      <c r="L130" s="7">
        <v>5.904</v>
      </c>
      <c r="M130" s="8">
        <f t="shared" si="9"/>
        <v>104.316</v>
      </c>
      <c r="N130" s="7">
        <v>104.82300000000001</v>
      </c>
      <c r="O130" s="10">
        <f t="shared" si="10"/>
        <v>17.75457317</v>
      </c>
      <c r="R130" s="1" t="s">
        <v>115</v>
      </c>
      <c r="S130" s="1" t="s">
        <v>169</v>
      </c>
      <c r="U130" s="1">
        <f t="shared" si="11"/>
        <v>0.1937669377</v>
      </c>
      <c r="V130" s="1">
        <f t="shared" si="12"/>
        <v>0.01069421787</v>
      </c>
    </row>
    <row r="131" ht="14.25" customHeight="1">
      <c r="A131" s="1" t="s">
        <v>144</v>
      </c>
      <c r="B131" s="1" t="s">
        <v>173</v>
      </c>
      <c r="C131" s="6">
        <v>45881.0</v>
      </c>
      <c r="D131" s="6">
        <v>45881.0</v>
      </c>
      <c r="E131" s="1" t="s">
        <v>29</v>
      </c>
      <c r="H131" s="7">
        <v>0.499</v>
      </c>
      <c r="I131" s="7">
        <v>4.575</v>
      </c>
      <c r="J131" s="7">
        <v>0.466</v>
      </c>
      <c r="K131" s="7">
        <v>79.431</v>
      </c>
      <c r="L131" s="7">
        <v>4.524</v>
      </c>
      <c r="M131" s="8">
        <f t="shared" si="9"/>
        <v>90.399</v>
      </c>
      <c r="N131" s="7">
        <v>90.898</v>
      </c>
      <c r="O131" s="10">
        <f t="shared" si="10"/>
        <v>20.09239611</v>
      </c>
      <c r="R131" s="1" t="s">
        <v>115</v>
      </c>
      <c r="S131" s="1" t="s">
        <v>169</v>
      </c>
      <c r="U131" s="1">
        <f t="shared" si="11"/>
        <v>0.1030061892</v>
      </c>
      <c r="V131" s="1">
        <f t="shared" si="12"/>
        <v>0.05582081014</v>
      </c>
    </row>
    <row r="132" ht="14.25" customHeight="1">
      <c r="A132" s="1" t="s">
        <v>144</v>
      </c>
      <c r="B132" s="1" t="s">
        <v>174</v>
      </c>
      <c r="C132" s="6">
        <v>45881.0</v>
      </c>
      <c r="D132" s="6">
        <v>45881.0</v>
      </c>
      <c r="E132" s="1" t="s">
        <v>152</v>
      </c>
      <c r="H132" s="7">
        <v>0.563</v>
      </c>
      <c r="I132" s="7">
        <v>1.566</v>
      </c>
      <c r="J132" s="7">
        <v>0.089</v>
      </c>
      <c r="K132" s="7">
        <v>84.49</v>
      </c>
      <c r="L132" s="7">
        <v>3.4655</v>
      </c>
      <c r="M132" s="8">
        <f t="shared" si="9"/>
        <v>78.34</v>
      </c>
      <c r="N132" s="7">
        <v>78.903</v>
      </c>
      <c r="O132" s="10">
        <f t="shared" si="10"/>
        <v>22.76814313</v>
      </c>
      <c r="R132" s="1" t="s">
        <v>115</v>
      </c>
      <c r="S132" s="1" t="s">
        <v>169</v>
      </c>
      <c r="U132" s="1">
        <f t="shared" si="11"/>
        <v>0.02568171981</v>
      </c>
      <c r="V132" s="1">
        <f t="shared" si="12"/>
        <v>0.0269824975</v>
      </c>
    </row>
    <row r="133" ht="14.25" customHeight="1">
      <c r="A133" s="1" t="s">
        <v>144</v>
      </c>
      <c r="B133" s="1" t="s">
        <v>175</v>
      </c>
      <c r="C133" s="6">
        <v>45881.0</v>
      </c>
      <c r="D133" s="6">
        <v>45881.0</v>
      </c>
      <c r="E133" s="1" t="s">
        <v>154</v>
      </c>
      <c r="H133" s="7">
        <v>1.019</v>
      </c>
      <c r="I133" s="7">
        <v>1.055</v>
      </c>
      <c r="J133" s="7">
        <v>0.101</v>
      </c>
      <c r="K133" s="7">
        <v>76.034</v>
      </c>
      <c r="L133" s="7">
        <v>3.6334999999999997</v>
      </c>
      <c r="M133" s="8">
        <f t="shared" si="9"/>
        <v>83.178</v>
      </c>
      <c r="N133" s="7">
        <v>84.197</v>
      </c>
      <c r="O133" s="10">
        <f t="shared" si="10"/>
        <v>23.17242328</v>
      </c>
      <c r="R133" s="1" t="s">
        <v>115</v>
      </c>
      <c r="S133" s="1" t="s">
        <v>169</v>
      </c>
      <c r="U133" s="1">
        <f t="shared" si="11"/>
        <v>0.02779689005</v>
      </c>
      <c r="V133" s="1">
        <f t="shared" si="12"/>
        <v>0.02463270663</v>
      </c>
    </row>
    <row r="134" ht="14.25" customHeight="1">
      <c r="A134" s="1" t="s">
        <v>144</v>
      </c>
      <c r="B134" s="1" t="s">
        <v>176</v>
      </c>
      <c r="C134" s="6">
        <v>45881.0</v>
      </c>
      <c r="D134" s="6">
        <v>45881.0</v>
      </c>
      <c r="E134" s="1" t="s">
        <v>156</v>
      </c>
      <c r="H134" s="7">
        <v>0.435</v>
      </c>
      <c r="I134" s="7">
        <v>1.288</v>
      </c>
      <c r="J134" s="7">
        <v>0.056</v>
      </c>
      <c r="K134" s="7">
        <v>66.515</v>
      </c>
      <c r="L134" s="7">
        <v>2.9755000000000003</v>
      </c>
      <c r="M134" s="8">
        <f t="shared" si="9"/>
        <v>68.797</v>
      </c>
      <c r="N134" s="7">
        <v>69.232</v>
      </c>
      <c r="O134" s="10">
        <f t="shared" si="10"/>
        <v>23.26735003</v>
      </c>
      <c r="R134" s="1" t="s">
        <v>115</v>
      </c>
      <c r="S134" s="1" t="s">
        <v>169</v>
      </c>
      <c r="U134" s="1">
        <f t="shared" si="11"/>
        <v>0.01882036632</v>
      </c>
      <c r="V134" s="1">
        <f t="shared" si="12"/>
        <v>0.02488733534</v>
      </c>
    </row>
    <row r="135" ht="14.25" customHeight="1">
      <c r="A135" s="1" t="s">
        <v>144</v>
      </c>
      <c r="B135" s="1" t="s">
        <v>177</v>
      </c>
      <c r="C135" s="6">
        <v>45881.0</v>
      </c>
      <c r="D135" s="6">
        <v>45881.0</v>
      </c>
      <c r="E135" s="1" t="s">
        <v>158</v>
      </c>
      <c r="H135" s="7">
        <v>0.452</v>
      </c>
      <c r="I135" s="7">
        <v>1.405</v>
      </c>
      <c r="J135" s="7">
        <v>0.048</v>
      </c>
      <c r="K135" s="7">
        <v>68.205</v>
      </c>
      <c r="L135" s="7">
        <v>2.746</v>
      </c>
      <c r="M135" s="8">
        <f t="shared" si="9"/>
        <v>67.516</v>
      </c>
      <c r="N135" s="7">
        <v>67.96799999999999</v>
      </c>
      <c r="O135" s="10">
        <f t="shared" si="10"/>
        <v>24.75163875</v>
      </c>
      <c r="R135" s="1" t="s">
        <v>115</v>
      </c>
      <c r="S135" s="1" t="s">
        <v>169</v>
      </c>
      <c r="U135" s="1">
        <f t="shared" si="11"/>
        <v>0.01747997087</v>
      </c>
      <c r="V135" s="1">
        <f t="shared" si="12"/>
        <v>0.02732168079</v>
      </c>
    </row>
    <row r="136" ht="14.25" customHeight="1">
      <c r="A136" s="1" t="s">
        <v>144</v>
      </c>
      <c r="B136" s="1" t="s">
        <v>178</v>
      </c>
      <c r="C136" s="6">
        <v>45881.0</v>
      </c>
      <c r="D136" s="6">
        <v>45881.0</v>
      </c>
      <c r="E136" s="1" t="s">
        <v>39</v>
      </c>
      <c r="H136" s="7">
        <v>15.789</v>
      </c>
      <c r="I136" s="7">
        <v>1.869</v>
      </c>
      <c r="J136" s="7">
        <v>0.026</v>
      </c>
      <c r="K136" s="7">
        <v>32.754</v>
      </c>
      <c r="L136" s="7">
        <v>0.8125</v>
      </c>
      <c r="M136" s="8">
        <f t="shared" si="9"/>
        <v>22.1375</v>
      </c>
      <c r="N136" s="7">
        <v>37.9265</v>
      </c>
      <c r="O136" s="10">
        <f t="shared" si="10"/>
        <v>46.67876923</v>
      </c>
      <c r="R136" s="1" t="s">
        <v>115</v>
      </c>
      <c r="S136" s="1" t="s">
        <v>169</v>
      </c>
      <c r="U136" s="1">
        <f t="shared" si="11"/>
        <v>0.032</v>
      </c>
      <c r="V136" s="1">
        <f t="shared" si="12"/>
        <v>0.4655847494</v>
      </c>
    </row>
    <row r="137" ht="14.25" customHeight="1">
      <c r="A137" s="1" t="s">
        <v>144</v>
      </c>
      <c r="B137" s="1" t="s">
        <v>179</v>
      </c>
      <c r="C137" s="6">
        <v>45889.0</v>
      </c>
      <c r="D137" s="6">
        <v>45889.0</v>
      </c>
      <c r="E137" s="1" t="s">
        <v>19</v>
      </c>
      <c r="H137" s="7">
        <v>9.559</v>
      </c>
      <c r="I137" s="7">
        <v>12.751</v>
      </c>
      <c r="J137" s="7">
        <v>4.139</v>
      </c>
      <c r="K137" s="7">
        <v>110.585</v>
      </c>
      <c r="L137" s="7">
        <v>10.714500000000001</v>
      </c>
      <c r="M137" s="8">
        <f t="shared" si="9"/>
        <v>111.0235</v>
      </c>
      <c r="N137" s="7">
        <v>120.5825</v>
      </c>
      <c r="O137" s="10">
        <f t="shared" si="10"/>
        <v>11.25414158</v>
      </c>
      <c r="R137" s="1" t="s">
        <v>115</v>
      </c>
      <c r="S137" s="1" t="s">
        <v>169</v>
      </c>
      <c r="U137" s="1">
        <f t="shared" si="11"/>
        <v>0.3862989407</v>
      </c>
      <c r="V137" s="1">
        <f t="shared" si="12"/>
        <v>0.1850185558</v>
      </c>
    </row>
    <row r="138" ht="14.25" customHeight="1">
      <c r="A138" s="1" t="s">
        <v>144</v>
      </c>
      <c r="B138" s="1" t="s">
        <v>180</v>
      </c>
      <c r="C138" s="6">
        <v>45889.0</v>
      </c>
      <c r="D138" s="6">
        <v>45889.0</v>
      </c>
      <c r="E138" s="1" t="s">
        <v>23</v>
      </c>
      <c r="H138" s="7">
        <v>4.799</v>
      </c>
      <c r="I138" s="7">
        <v>12.318</v>
      </c>
      <c r="J138" s="7">
        <v>2.07</v>
      </c>
      <c r="K138" s="7">
        <v>95.74</v>
      </c>
      <c r="L138" s="7">
        <v>6.4625</v>
      </c>
      <c r="M138" s="8">
        <f t="shared" si="9"/>
        <v>101.1385</v>
      </c>
      <c r="N138" s="7">
        <v>105.9375</v>
      </c>
      <c r="O138" s="10">
        <f t="shared" si="10"/>
        <v>16.3926499</v>
      </c>
      <c r="R138" s="1" t="s">
        <v>115</v>
      </c>
      <c r="S138" s="1" t="s">
        <v>169</v>
      </c>
      <c r="U138" s="1">
        <f t="shared" si="11"/>
        <v>0.3203094778</v>
      </c>
      <c r="V138" s="1">
        <f t="shared" si="12"/>
        <v>0.1615764012</v>
      </c>
    </row>
    <row r="139" ht="14.25" customHeight="1">
      <c r="A139" s="1" t="s">
        <v>144</v>
      </c>
      <c r="B139" s="1" t="s">
        <v>181</v>
      </c>
      <c r="C139" s="6">
        <v>45889.0</v>
      </c>
      <c r="D139" s="6">
        <v>45889.0</v>
      </c>
      <c r="E139" s="1" t="s">
        <v>25</v>
      </c>
      <c r="H139" s="7">
        <v>2.029</v>
      </c>
      <c r="I139" s="7">
        <v>4.429</v>
      </c>
      <c r="J139" s="7">
        <v>1.77</v>
      </c>
      <c r="K139" s="7">
        <v>93.904</v>
      </c>
      <c r="L139" s="7">
        <v>6.1465</v>
      </c>
      <c r="M139" s="8">
        <f t="shared" si="9"/>
        <v>102.105</v>
      </c>
      <c r="N139" s="7">
        <v>104.134</v>
      </c>
      <c r="O139" s="10">
        <f t="shared" si="10"/>
        <v>16.94199951</v>
      </c>
      <c r="R139" s="1" t="s">
        <v>115</v>
      </c>
      <c r="S139" s="1" t="s">
        <v>169</v>
      </c>
      <c r="U139" s="1">
        <f t="shared" si="11"/>
        <v>0.2879687627</v>
      </c>
      <c r="V139" s="1">
        <f t="shared" si="12"/>
        <v>0.0620162483</v>
      </c>
    </row>
    <row r="140" ht="14.25" customHeight="1">
      <c r="A140" s="1" t="s">
        <v>144</v>
      </c>
      <c r="B140" s="1" t="s">
        <v>182</v>
      </c>
      <c r="C140" s="6">
        <v>45889.0</v>
      </c>
      <c r="D140" s="6">
        <v>45889.0</v>
      </c>
      <c r="E140" s="1" t="s">
        <v>149</v>
      </c>
      <c r="H140" s="7">
        <v>2.386</v>
      </c>
      <c r="I140" s="7">
        <v>4.212</v>
      </c>
      <c r="J140" s="7">
        <v>1.952</v>
      </c>
      <c r="K140" s="7">
        <v>115.656</v>
      </c>
      <c r="L140" s="7">
        <v>6.7575</v>
      </c>
      <c r="M140" s="8">
        <f t="shared" si="9"/>
        <v>98.502</v>
      </c>
      <c r="N140" s="7">
        <v>100.888</v>
      </c>
      <c r="O140" s="10">
        <f t="shared" si="10"/>
        <v>14.92978172</v>
      </c>
      <c r="R140" s="1" t="s">
        <v>115</v>
      </c>
      <c r="S140" s="1" t="s">
        <v>169</v>
      </c>
      <c r="U140" s="1">
        <f t="shared" si="11"/>
        <v>0.2888642249</v>
      </c>
      <c r="V140" s="1">
        <f t="shared" si="12"/>
        <v>0.06539925462</v>
      </c>
    </row>
    <row r="141" ht="14.25" customHeight="1">
      <c r="A141" s="1" t="s">
        <v>144</v>
      </c>
      <c r="B141" s="1" t="s">
        <v>183</v>
      </c>
      <c r="C141" s="6">
        <v>45889.0</v>
      </c>
      <c r="D141" s="6">
        <v>45889.0</v>
      </c>
      <c r="E141" s="1" t="s">
        <v>29</v>
      </c>
      <c r="H141" s="7">
        <v>0.42</v>
      </c>
      <c r="I141" s="7">
        <v>1.366</v>
      </c>
      <c r="J141" s="7">
        <v>1.434</v>
      </c>
      <c r="K141" s="7">
        <v>92.316</v>
      </c>
      <c r="L141" s="7">
        <v>5.9935</v>
      </c>
      <c r="M141" s="8">
        <f t="shared" si="9"/>
        <v>97.5925</v>
      </c>
      <c r="N141" s="7">
        <v>98.0125</v>
      </c>
      <c r="O141" s="10">
        <f t="shared" si="10"/>
        <v>16.35313256</v>
      </c>
      <c r="R141" s="1" t="s">
        <v>115</v>
      </c>
      <c r="S141" s="1" t="s">
        <v>169</v>
      </c>
      <c r="U141" s="1">
        <f t="shared" si="11"/>
        <v>0.2392591975</v>
      </c>
      <c r="V141" s="1">
        <f t="shared" si="12"/>
        <v>0.01822216554</v>
      </c>
    </row>
    <row r="142" ht="14.25" customHeight="1">
      <c r="A142" s="1" t="s">
        <v>144</v>
      </c>
      <c r="B142" s="1" t="s">
        <v>184</v>
      </c>
      <c r="C142" s="6">
        <v>45889.0</v>
      </c>
      <c r="D142" s="6">
        <v>45889.0</v>
      </c>
      <c r="E142" s="1" t="s">
        <v>152</v>
      </c>
      <c r="H142" s="7">
        <v>0.097</v>
      </c>
      <c r="I142" s="7">
        <v>1.137</v>
      </c>
      <c r="J142" s="7">
        <v>0.5</v>
      </c>
      <c r="K142" s="7">
        <v>89.918</v>
      </c>
      <c r="L142" s="7">
        <v>4.3495</v>
      </c>
      <c r="M142" s="8">
        <f t="shared" si="9"/>
        <v>77.431</v>
      </c>
      <c r="N142" s="7">
        <v>77.52799999999999</v>
      </c>
      <c r="O142" s="10">
        <f t="shared" si="10"/>
        <v>17.82457754</v>
      </c>
      <c r="R142" s="1" t="s">
        <v>115</v>
      </c>
      <c r="S142" s="1" t="s">
        <v>169</v>
      </c>
      <c r="U142" s="1">
        <f t="shared" si="11"/>
        <v>0.114955742</v>
      </c>
      <c r="V142" s="1">
        <f t="shared" si="12"/>
        <v>0.01591683005</v>
      </c>
    </row>
    <row r="143" ht="14.25" customHeight="1">
      <c r="A143" s="1" t="s">
        <v>144</v>
      </c>
      <c r="B143" s="1" t="s">
        <v>185</v>
      </c>
      <c r="C143" s="6">
        <v>45889.0</v>
      </c>
      <c r="D143" s="6">
        <v>45889.0</v>
      </c>
      <c r="E143" s="1" t="s">
        <v>154</v>
      </c>
      <c r="H143" s="7">
        <v>3.023</v>
      </c>
      <c r="I143" s="7">
        <v>1.636</v>
      </c>
      <c r="J143" s="7">
        <v>0.469</v>
      </c>
      <c r="K143" s="7">
        <v>80.957</v>
      </c>
      <c r="L143" s="7">
        <v>3.366</v>
      </c>
      <c r="M143" s="8">
        <f t="shared" si="9"/>
        <v>62.7945</v>
      </c>
      <c r="N143" s="7">
        <v>65.8175</v>
      </c>
      <c r="O143" s="10">
        <f t="shared" si="10"/>
        <v>19.55362448</v>
      </c>
      <c r="R143" s="1" t="s">
        <v>115</v>
      </c>
      <c r="S143" s="1" t="s">
        <v>169</v>
      </c>
      <c r="U143" s="1">
        <f t="shared" si="11"/>
        <v>0.1393345217</v>
      </c>
      <c r="V143" s="1">
        <f t="shared" si="12"/>
        <v>0.07078664489</v>
      </c>
    </row>
    <row r="144" ht="14.25" customHeight="1">
      <c r="A144" s="1" t="s">
        <v>144</v>
      </c>
      <c r="B144" s="1" t="s">
        <v>186</v>
      </c>
      <c r="C144" s="6">
        <v>45889.0</v>
      </c>
      <c r="D144" s="6">
        <v>45889.0</v>
      </c>
      <c r="E144" s="1" t="s">
        <v>156</v>
      </c>
      <c r="H144" s="7">
        <v>2.283</v>
      </c>
      <c r="I144" s="7">
        <v>2.921</v>
      </c>
      <c r="J144" s="7">
        <v>0.063</v>
      </c>
      <c r="K144" s="7">
        <v>33.115</v>
      </c>
      <c r="L144" s="7">
        <v>2.6574999999999998</v>
      </c>
      <c r="M144" s="8">
        <f t="shared" si="9"/>
        <v>51.3015</v>
      </c>
      <c r="N144" s="7">
        <v>53.5845</v>
      </c>
      <c r="O144" s="10">
        <f t="shared" si="10"/>
        <v>20.16349953</v>
      </c>
      <c r="R144" s="1" t="s">
        <v>115</v>
      </c>
      <c r="S144" s="1" t="s">
        <v>169</v>
      </c>
      <c r="U144" s="1">
        <f t="shared" si="11"/>
        <v>0.02370649106</v>
      </c>
      <c r="V144" s="1">
        <f t="shared" si="12"/>
        <v>0.09711763663</v>
      </c>
    </row>
    <row r="145" ht="14.25" customHeight="1">
      <c r="A145" s="1" t="s">
        <v>144</v>
      </c>
      <c r="B145" s="1" t="s">
        <v>187</v>
      </c>
      <c r="C145" s="6">
        <v>45889.0</v>
      </c>
      <c r="D145" s="6">
        <v>45889.0</v>
      </c>
      <c r="E145" s="1" t="s">
        <v>158</v>
      </c>
      <c r="H145" s="7">
        <v>2.636</v>
      </c>
      <c r="I145" s="7">
        <v>0.995</v>
      </c>
      <c r="J145" s="7">
        <v>0.172</v>
      </c>
      <c r="K145" s="7">
        <v>60.313</v>
      </c>
      <c r="L145" s="7">
        <v>2.864</v>
      </c>
      <c r="M145" s="8">
        <f t="shared" si="9"/>
        <v>63.788</v>
      </c>
      <c r="N145" s="7">
        <v>66.424</v>
      </c>
      <c r="O145" s="10">
        <f t="shared" si="10"/>
        <v>23.19273743</v>
      </c>
      <c r="R145" s="1" t="s">
        <v>115</v>
      </c>
      <c r="S145" s="1" t="s">
        <v>169</v>
      </c>
      <c r="U145" s="1">
        <f t="shared" si="11"/>
        <v>0.06005586592</v>
      </c>
      <c r="V145" s="1">
        <f t="shared" si="12"/>
        <v>0.05466397688</v>
      </c>
    </row>
    <row r="146" ht="14.25" customHeight="1">
      <c r="A146" s="1" t="s">
        <v>144</v>
      </c>
      <c r="B146" s="1" t="s">
        <v>188</v>
      </c>
      <c r="C146" s="6">
        <v>45895.0</v>
      </c>
      <c r="D146" s="6">
        <v>45895.0</v>
      </c>
      <c r="E146" s="1" t="s">
        <v>19</v>
      </c>
      <c r="H146" s="7">
        <v>8.143</v>
      </c>
      <c r="I146" s="7">
        <v>3.242</v>
      </c>
      <c r="J146" s="7">
        <v>1.772</v>
      </c>
      <c r="K146" s="7">
        <v>170.696</v>
      </c>
      <c r="L146" s="7">
        <v>7.513</v>
      </c>
      <c r="M146" s="8">
        <f t="shared" si="9"/>
        <v>87.7155</v>
      </c>
      <c r="N146" s="7">
        <v>95.85849999999999</v>
      </c>
      <c r="O146" s="10">
        <f t="shared" si="10"/>
        <v>12.7590177</v>
      </c>
      <c r="R146" s="1" t="s">
        <v>115</v>
      </c>
      <c r="S146" s="1" t="s">
        <v>169</v>
      </c>
      <c r="U146" s="1">
        <f t="shared" si="11"/>
        <v>0.2358578464</v>
      </c>
      <c r="V146" s="1">
        <f t="shared" si="12"/>
        <v>0.1187688103</v>
      </c>
    </row>
    <row r="147" ht="14.25" customHeight="1">
      <c r="A147" s="1" t="s">
        <v>144</v>
      </c>
      <c r="B147" s="1" t="s">
        <v>189</v>
      </c>
      <c r="C147" s="6">
        <v>45895.0</v>
      </c>
      <c r="D147" s="6">
        <v>45895.0</v>
      </c>
      <c r="E147" s="1" t="s">
        <v>23</v>
      </c>
      <c r="H147" s="7">
        <v>1.613</v>
      </c>
      <c r="I147" s="7">
        <v>1.829</v>
      </c>
      <c r="J147" s="7">
        <v>0.601</v>
      </c>
      <c r="K147" s="7">
        <v>108.373</v>
      </c>
      <c r="L147" s="7">
        <v>4.9025</v>
      </c>
      <c r="M147" s="8">
        <f t="shared" si="9"/>
        <v>89.683</v>
      </c>
      <c r="N147" s="7">
        <v>91.29599999999999</v>
      </c>
      <c r="O147" s="10">
        <f t="shared" si="10"/>
        <v>18.62233554</v>
      </c>
      <c r="R147" s="1" t="s">
        <v>115</v>
      </c>
      <c r="S147" s="1" t="s">
        <v>169</v>
      </c>
      <c r="U147" s="1">
        <f t="shared" si="11"/>
        <v>0.122590515</v>
      </c>
      <c r="V147" s="1">
        <f t="shared" si="12"/>
        <v>0.03770154224</v>
      </c>
    </row>
    <row r="148" ht="14.25" customHeight="1">
      <c r="A148" s="1" t="s">
        <v>144</v>
      </c>
      <c r="B148" s="1" t="s">
        <v>190</v>
      </c>
      <c r="C148" s="6">
        <v>45895.0</v>
      </c>
      <c r="D148" s="6">
        <v>45895.0</v>
      </c>
      <c r="E148" s="1" t="s">
        <v>25</v>
      </c>
      <c r="H148" s="7">
        <v>0.706</v>
      </c>
      <c r="I148" s="7">
        <v>1.608</v>
      </c>
      <c r="J148" s="7">
        <v>0.416</v>
      </c>
      <c r="K148" s="7">
        <v>114.606</v>
      </c>
      <c r="L148" s="7">
        <v>4.743</v>
      </c>
      <c r="M148" s="8">
        <f t="shared" si="9"/>
        <v>89.201</v>
      </c>
      <c r="N148" s="7">
        <v>89.907</v>
      </c>
      <c r="O148" s="10">
        <f t="shared" si="10"/>
        <v>18.95572423</v>
      </c>
      <c r="R148" s="1" t="s">
        <v>115</v>
      </c>
      <c r="S148" s="1" t="s">
        <v>169</v>
      </c>
      <c r="U148" s="1">
        <f t="shared" si="11"/>
        <v>0.08770820156</v>
      </c>
      <c r="V148" s="1">
        <f t="shared" si="12"/>
        <v>0.02573770674</v>
      </c>
    </row>
    <row r="149" ht="14.25" customHeight="1">
      <c r="A149" s="1" t="s">
        <v>144</v>
      </c>
      <c r="B149" s="1" t="s">
        <v>191</v>
      </c>
      <c r="C149" s="6">
        <v>45895.0</v>
      </c>
      <c r="D149" s="6">
        <v>45895.0</v>
      </c>
      <c r="E149" s="1" t="s">
        <v>149</v>
      </c>
      <c r="H149" s="7">
        <v>0.373</v>
      </c>
      <c r="I149" s="7">
        <v>2.002</v>
      </c>
      <c r="J149" s="7">
        <v>0.209</v>
      </c>
      <c r="K149" s="7">
        <v>95.872</v>
      </c>
      <c r="L149" s="7">
        <v>4.34</v>
      </c>
      <c r="M149" s="8">
        <f t="shared" si="9"/>
        <v>81.5915</v>
      </c>
      <c r="N149" s="7">
        <v>81.9645</v>
      </c>
      <c r="O149" s="10">
        <f t="shared" si="10"/>
        <v>18.88582949</v>
      </c>
      <c r="R149" s="1" t="s">
        <v>115</v>
      </c>
      <c r="S149" s="1" t="s">
        <v>169</v>
      </c>
      <c r="U149" s="1">
        <f t="shared" si="11"/>
        <v>0.04815668203</v>
      </c>
      <c r="V149" s="1">
        <f t="shared" si="12"/>
        <v>0.0289759591</v>
      </c>
    </row>
    <row r="150" ht="14.25" customHeight="1">
      <c r="A150" s="1" t="s">
        <v>144</v>
      </c>
      <c r="B150" s="1" t="s">
        <v>192</v>
      </c>
      <c r="C150" s="6">
        <v>45895.0</v>
      </c>
      <c r="D150" s="6">
        <v>45895.0</v>
      </c>
      <c r="E150" s="1" t="s">
        <v>29</v>
      </c>
      <c r="H150" s="7">
        <v>0.537</v>
      </c>
      <c r="I150" s="7">
        <v>1.302</v>
      </c>
      <c r="J150" s="7">
        <v>0.136</v>
      </c>
      <c r="K150" s="7">
        <v>94.195</v>
      </c>
      <c r="L150" s="7">
        <v>3.7815000000000003</v>
      </c>
      <c r="M150" s="8">
        <f t="shared" si="9"/>
        <v>70.0945</v>
      </c>
      <c r="N150" s="7">
        <v>70.6315</v>
      </c>
      <c r="O150" s="10">
        <f t="shared" si="10"/>
        <v>18.67817004</v>
      </c>
      <c r="R150" s="1" t="s">
        <v>115</v>
      </c>
      <c r="S150" s="1" t="s">
        <v>169</v>
      </c>
      <c r="U150" s="1">
        <f t="shared" si="11"/>
        <v>0.03596456433</v>
      </c>
      <c r="V150" s="1">
        <f t="shared" si="12"/>
        <v>0.02603654177</v>
      </c>
    </row>
    <row r="151" ht="14.25" customHeight="1">
      <c r="A151" s="1" t="s">
        <v>144</v>
      </c>
      <c r="B151" s="1" t="s">
        <v>193</v>
      </c>
      <c r="C151" s="6">
        <v>45895.0</v>
      </c>
      <c r="D151" s="6">
        <v>45895.0</v>
      </c>
      <c r="E151" s="1" t="s">
        <v>152</v>
      </c>
      <c r="H151" s="7">
        <v>0.863</v>
      </c>
      <c r="I151" s="7">
        <v>1.027</v>
      </c>
      <c r="J151" s="7">
        <v>0.366</v>
      </c>
      <c r="K151" s="7">
        <v>92.327</v>
      </c>
      <c r="L151" s="7">
        <v>4.495</v>
      </c>
      <c r="M151" s="8">
        <f t="shared" si="9"/>
        <v>68.606</v>
      </c>
      <c r="N151" s="7">
        <v>69.469</v>
      </c>
      <c r="O151" s="10">
        <f t="shared" si="10"/>
        <v>15.45472747</v>
      </c>
      <c r="R151" s="1" t="s">
        <v>115</v>
      </c>
      <c r="S151" s="1" t="s">
        <v>169</v>
      </c>
      <c r="U151" s="1">
        <f t="shared" si="11"/>
        <v>0.08142380423</v>
      </c>
      <c r="V151" s="1">
        <f t="shared" si="12"/>
        <v>0.02720637982</v>
      </c>
    </row>
    <row r="152" ht="14.25" customHeight="1">
      <c r="A152" s="1" t="s">
        <v>144</v>
      </c>
      <c r="B152" s="1" t="s">
        <v>194</v>
      </c>
      <c r="C152" s="6">
        <v>45895.0</v>
      </c>
      <c r="D152" s="6">
        <v>45895.0</v>
      </c>
      <c r="E152" s="1" t="s">
        <v>154</v>
      </c>
      <c r="H152" s="7">
        <v>0.753</v>
      </c>
      <c r="I152" s="7">
        <v>1.216</v>
      </c>
      <c r="J152" s="7">
        <v>0.538</v>
      </c>
      <c r="K152" s="7">
        <v>94.555</v>
      </c>
      <c r="L152" s="7">
        <v>3.788</v>
      </c>
      <c r="M152" s="8">
        <f t="shared" si="9"/>
        <v>65.3055</v>
      </c>
      <c r="N152" s="7">
        <v>66.05850000000001</v>
      </c>
      <c r="O152" s="10">
        <f t="shared" si="10"/>
        <v>17.43888596</v>
      </c>
      <c r="R152" s="1" t="s">
        <v>115</v>
      </c>
      <c r="S152" s="1" t="s">
        <v>169</v>
      </c>
      <c r="U152" s="1">
        <f t="shared" si="11"/>
        <v>0.1420274551</v>
      </c>
      <c r="V152" s="1">
        <f t="shared" si="12"/>
        <v>0.02980691357</v>
      </c>
    </row>
    <row r="153" ht="14.25" customHeight="1">
      <c r="A153" s="1" t="s">
        <v>144</v>
      </c>
      <c r="B153" s="1" t="s">
        <v>195</v>
      </c>
      <c r="C153" s="6">
        <v>45895.0</v>
      </c>
      <c r="D153" s="6">
        <v>45895.0</v>
      </c>
      <c r="E153" s="1" t="s">
        <v>156</v>
      </c>
      <c r="H153" s="7">
        <v>0.993</v>
      </c>
      <c r="I153" s="7">
        <v>1.405</v>
      </c>
      <c r="J153" s="7">
        <v>0.037</v>
      </c>
      <c r="K153" s="7">
        <v>33.696</v>
      </c>
      <c r="L153" s="7">
        <v>1.639</v>
      </c>
      <c r="M153" s="8">
        <f t="shared" si="9"/>
        <v>36.3075</v>
      </c>
      <c r="N153" s="7">
        <v>37.3005</v>
      </c>
      <c r="O153" s="10">
        <f t="shared" si="10"/>
        <v>22.7580842</v>
      </c>
      <c r="R153" s="1" t="s">
        <v>115</v>
      </c>
      <c r="S153" s="1" t="s">
        <v>169</v>
      </c>
      <c r="U153" s="1">
        <f t="shared" si="11"/>
        <v>0.0225747407</v>
      </c>
      <c r="V153" s="1">
        <f t="shared" si="12"/>
        <v>0.06428868246</v>
      </c>
    </row>
    <row r="154" ht="14.25" customHeight="1">
      <c r="A154" s="1" t="s">
        <v>144</v>
      </c>
      <c r="B154" s="1" t="s">
        <v>196</v>
      </c>
      <c r="C154" s="6">
        <v>45895.0</v>
      </c>
      <c r="D154" s="6">
        <v>45895.0</v>
      </c>
      <c r="E154" s="1" t="s">
        <v>158</v>
      </c>
      <c r="H154" s="7">
        <v>0.0</v>
      </c>
      <c r="I154" s="7">
        <v>1.521</v>
      </c>
      <c r="J154" s="7">
        <v>0.059</v>
      </c>
      <c r="K154" s="7">
        <v>90.476</v>
      </c>
      <c r="L154" s="7">
        <v>3.0465</v>
      </c>
      <c r="M154" s="8">
        <f t="shared" si="9"/>
        <v>60.9205</v>
      </c>
      <c r="N154" s="7">
        <v>60.920500000000004</v>
      </c>
      <c r="O154" s="10">
        <f t="shared" si="10"/>
        <v>19.99688167</v>
      </c>
      <c r="R154" s="1" t="s">
        <v>115</v>
      </c>
      <c r="S154" s="1" t="s">
        <v>169</v>
      </c>
      <c r="U154" s="1">
        <f t="shared" si="11"/>
        <v>0.01936648613</v>
      </c>
      <c r="V154" s="1">
        <f t="shared" si="12"/>
        <v>0.02496696514</v>
      </c>
    </row>
    <row r="155" ht="14.25" customHeight="1">
      <c r="A155" s="1" t="s">
        <v>144</v>
      </c>
      <c r="B155" s="1" t="s">
        <v>197</v>
      </c>
      <c r="C155" s="6">
        <v>45902.0</v>
      </c>
      <c r="D155" s="6">
        <v>45902.0</v>
      </c>
      <c r="E155" s="1" t="s">
        <v>19</v>
      </c>
      <c r="H155" s="7">
        <v>0.028</v>
      </c>
      <c r="I155" s="7">
        <v>5.299</v>
      </c>
      <c r="J155" s="7">
        <v>1.339</v>
      </c>
      <c r="K155" s="7">
        <v>169.263</v>
      </c>
      <c r="L155" s="7">
        <v>5.305999999999999</v>
      </c>
      <c r="M155" s="8">
        <f t="shared" si="9"/>
        <v>71.902</v>
      </c>
      <c r="N155" s="7">
        <v>71.93</v>
      </c>
      <c r="O155" s="10">
        <f t="shared" si="10"/>
        <v>13.5563513</v>
      </c>
      <c r="R155" s="1" t="s">
        <v>115</v>
      </c>
      <c r="S155" s="1" t="s">
        <v>169</v>
      </c>
      <c r="U155" s="1">
        <f t="shared" si="11"/>
        <v>0.2523558236</v>
      </c>
      <c r="V155" s="1">
        <f t="shared" si="12"/>
        <v>0.07405811205</v>
      </c>
    </row>
    <row r="156" ht="14.25" customHeight="1">
      <c r="A156" s="1" t="s">
        <v>144</v>
      </c>
      <c r="B156" s="1" t="s">
        <v>198</v>
      </c>
      <c r="C156" s="6">
        <v>45902.0</v>
      </c>
      <c r="D156" s="6">
        <v>45902.0</v>
      </c>
      <c r="E156" s="1" t="s">
        <v>23</v>
      </c>
      <c r="H156" s="7">
        <v>1.374</v>
      </c>
      <c r="I156" s="7">
        <v>1.929</v>
      </c>
      <c r="J156" s="7">
        <v>0.39</v>
      </c>
      <c r="K156" s="7">
        <v>126.724</v>
      </c>
      <c r="L156" s="7">
        <v>3.662</v>
      </c>
      <c r="M156" s="8">
        <f t="shared" si="9"/>
        <v>70.864</v>
      </c>
      <c r="N156" s="7">
        <v>72.238</v>
      </c>
      <c r="O156" s="10">
        <f t="shared" si="10"/>
        <v>19.72637903</v>
      </c>
      <c r="R156" s="1" t="s">
        <v>115</v>
      </c>
      <c r="S156" s="1" t="s">
        <v>169</v>
      </c>
      <c r="U156" s="1">
        <f t="shared" si="11"/>
        <v>0.1064991808</v>
      </c>
      <c r="V156" s="1">
        <f t="shared" si="12"/>
        <v>0.04572385725</v>
      </c>
    </row>
    <row r="157" ht="14.25" customHeight="1">
      <c r="A157" s="1" t="s">
        <v>144</v>
      </c>
      <c r="B157" s="1" t="s">
        <v>199</v>
      </c>
      <c r="C157" s="6">
        <v>45902.0</v>
      </c>
      <c r="D157" s="6">
        <v>45902.0</v>
      </c>
      <c r="E157" s="1" t="s">
        <v>25</v>
      </c>
      <c r="H157" s="7">
        <v>0.989</v>
      </c>
      <c r="I157" s="7">
        <v>1.039</v>
      </c>
      <c r="J157" s="7">
        <v>0.477</v>
      </c>
      <c r="K157" s="7">
        <v>119.987</v>
      </c>
      <c r="L157" s="7">
        <v>3.1639999999999997</v>
      </c>
      <c r="M157" s="8">
        <f t="shared" si="9"/>
        <v>65.185</v>
      </c>
      <c r="N157" s="7">
        <v>66.174</v>
      </c>
      <c r="O157" s="10">
        <f t="shared" si="10"/>
        <v>20.91466498</v>
      </c>
      <c r="R157" s="1" t="s">
        <v>115</v>
      </c>
      <c r="S157" s="1" t="s">
        <v>169</v>
      </c>
      <c r="U157" s="1">
        <f t="shared" si="11"/>
        <v>0.1507585335</v>
      </c>
      <c r="V157" s="1">
        <f t="shared" si="12"/>
        <v>0.03064647747</v>
      </c>
    </row>
    <row r="158" ht="14.25" customHeight="1">
      <c r="A158" s="1" t="s">
        <v>144</v>
      </c>
      <c r="B158" s="1" t="s">
        <v>200</v>
      </c>
      <c r="C158" s="6">
        <v>45902.0</v>
      </c>
      <c r="D158" s="6">
        <v>45902.0</v>
      </c>
      <c r="E158" s="1" t="s">
        <v>149</v>
      </c>
      <c r="H158" s="7">
        <v>0.125</v>
      </c>
      <c r="I158" s="7">
        <v>2.577</v>
      </c>
      <c r="J158" s="7">
        <v>0.435</v>
      </c>
      <c r="K158" s="7">
        <v>102.798</v>
      </c>
      <c r="L158" s="7">
        <v>2.9989999999999997</v>
      </c>
      <c r="M158" s="8">
        <f t="shared" si="9"/>
        <v>60.8085</v>
      </c>
      <c r="N158" s="7">
        <v>60.933499999999995</v>
      </c>
      <c r="O158" s="10">
        <f t="shared" si="10"/>
        <v>20.31793931</v>
      </c>
      <c r="R158" s="1" t="s">
        <v>115</v>
      </c>
      <c r="S158" s="1" t="s">
        <v>169</v>
      </c>
      <c r="U158" s="1">
        <f t="shared" si="11"/>
        <v>0.1450483494</v>
      </c>
      <c r="V158" s="1">
        <f t="shared" si="12"/>
        <v>0.04434342357</v>
      </c>
    </row>
    <row r="159" ht="14.25" customHeight="1">
      <c r="A159" s="1" t="s">
        <v>144</v>
      </c>
      <c r="B159" s="1" t="s">
        <v>201</v>
      </c>
      <c r="C159" s="6">
        <v>45902.0</v>
      </c>
      <c r="D159" s="6">
        <v>45902.0</v>
      </c>
      <c r="E159" s="1" t="s">
        <v>29</v>
      </c>
      <c r="H159" s="7">
        <v>1.355</v>
      </c>
      <c r="I159" s="7">
        <v>2.255</v>
      </c>
      <c r="J159" s="7">
        <v>0.351</v>
      </c>
      <c r="K159" s="7">
        <v>109.415</v>
      </c>
      <c r="L159" s="7">
        <v>3.2145</v>
      </c>
      <c r="M159" s="8">
        <f t="shared" si="9"/>
        <v>64.1905</v>
      </c>
      <c r="N159" s="7">
        <v>65.5455</v>
      </c>
      <c r="O159" s="10">
        <f t="shared" si="10"/>
        <v>20.39057396</v>
      </c>
      <c r="R159" s="1" t="s">
        <v>115</v>
      </c>
      <c r="S159" s="1" t="s">
        <v>169</v>
      </c>
      <c r="U159" s="1">
        <f t="shared" si="11"/>
        <v>0.1091927205</v>
      </c>
      <c r="V159" s="1">
        <f t="shared" si="12"/>
        <v>0.05507624475</v>
      </c>
    </row>
    <row r="160" ht="14.25" customHeight="1">
      <c r="A160" s="1" t="s">
        <v>144</v>
      </c>
      <c r="B160" s="1" t="s">
        <v>202</v>
      </c>
      <c r="C160" s="6">
        <v>45902.0</v>
      </c>
      <c r="D160" s="6">
        <v>45902.0</v>
      </c>
      <c r="E160" s="1" t="s">
        <v>152</v>
      </c>
      <c r="H160" s="7">
        <v>0.092</v>
      </c>
      <c r="I160" s="7">
        <v>1.648</v>
      </c>
      <c r="J160" s="7">
        <v>0.292</v>
      </c>
      <c r="K160" s="7">
        <v>92.757</v>
      </c>
      <c r="L160" s="7">
        <v>2.4675</v>
      </c>
      <c r="M160" s="8">
        <f t="shared" si="9"/>
        <v>55.1575</v>
      </c>
      <c r="N160" s="7">
        <v>55.2495</v>
      </c>
      <c r="O160" s="10">
        <f t="shared" si="10"/>
        <v>22.39088146</v>
      </c>
      <c r="R160" s="1" t="s">
        <v>115</v>
      </c>
      <c r="S160" s="1" t="s">
        <v>169</v>
      </c>
      <c r="U160" s="1">
        <f t="shared" si="11"/>
        <v>0.1183383992</v>
      </c>
      <c r="V160" s="1">
        <f t="shared" si="12"/>
        <v>0.03149349768</v>
      </c>
    </row>
    <row r="161" ht="14.25" customHeight="1">
      <c r="A161" s="1" t="s">
        <v>144</v>
      </c>
      <c r="B161" s="1" t="s">
        <v>203</v>
      </c>
      <c r="C161" s="6">
        <v>45902.0</v>
      </c>
      <c r="D161" s="6">
        <v>45902.0</v>
      </c>
      <c r="E161" s="1" t="s">
        <v>154</v>
      </c>
      <c r="H161" s="7">
        <v>0.041</v>
      </c>
      <c r="I161" s="7">
        <v>1.328</v>
      </c>
      <c r="J161" s="7">
        <v>0.254</v>
      </c>
      <c r="K161" s="7">
        <v>70.843</v>
      </c>
      <c r="L161" s="7">
        <v>2.0395</v>
      </c>
      <c r="M161" s="8">
        <f t="shared" si="9"/>
        <v>45.519</v>
      </c>
      <c r="N161" s="7">
        <v>45.56</v>
      </c>
      <c r="O161" s="10">
        <f t="shared" si="10"/>
        <v>22.33880853</v>
      </c>
      <c r="R161" s="1" t="s">
        <v>115</v>
      </c>
      <c r="S161" s="1" t="s">
        <v>169</v>
      </c>
      <c r="U161" s="1">
        <f t="shared" si="11"/>
        <v>0.1245403285</v>
      </c>
      <c r="V161" s="1">
        <f t="shared" si="12"/>
        <v>0.03004828797</v>
      </c>
    </row>
    <row r="162" ht="14.25" customHeight="1">
      <c r="A162" s="1" t="s">
        <v>144</v>
      </c>
      <c r="B162" s="1" t="s">
        <v>204</v>
      </c>
      <c r="C162" s="6">
        <v>45902.0</v>
      </c>
      <c r="D162" s="6">
        <v>45902.0</v>
      </c>
      <c r="E162" s="1" t="s">
        <v>156</v>
      </c>
      <c r="H162" s="7">
        <v>0.075</v>
      </c>
      <c r="I162" s="7">
        <v>1.262</v>
      </c>
      <c r="J162" s="7">
        <v>0.09</v>
      </c>
      <c r="K162" s="7">
        <v>53.96</v>
      </c>
      <c r="L162" s="7">
        <v>1.669</v>
      </c>
      <c r="M162" s="8">
        <f t="shared" si="9"/>
        <v>43.668</v>
      </c>
      <c r="N162" s="7">
        <v>43.742999999999995</v>
      </c>
      <c r="O162" s="10">
        <f t="shared" si="10"/>
        <v>26.20910725</v>
      </c>
      <c r="R162" s="1" t="s">
        <v>115</v>
      </c>
      <c r="S162" s="1" t="s">
        <v>169</v>
      </c>
      <c r="U162" s="1">
        <f t="shared" si="11"/>
        <v>0.05392450569</v>
      </c>
      <c r="V162" s="1">
        <f t="shared" si="12"/>
        <v>0.03056489038</v>
      </c>
    </row>
    <row r="163" ht="14.25" customHeight="1">
      <c r="A163" s="1" t="s">
        <v>144</v>
      </c>
      <c r="B163" s="1" t="s">
        <v>205</v>
      </c>
      <c r="C163" s="6">
        <v>45902.0</v>
      </c>
      <c r="D163" s="6">
        <v>45902.0</v>
      </c>
      <c r="E163" s="1" t="s">
        <v>158</v>
      </c>
      <c r="H163" s="7">
        <v>0.878</v>
      </c>
      <c r="I163" s="7">
        <v>1.381</v>
      </c>
      <c r="J163" s="7">
        <v>0.052</v>
      </c>
      <c r="K163" s="7">
        <v>59.267</v>
      </c>
      <c r="L163" s="7">
        <v>2.1145</v>
      </c>
      <c r="M163" s="8">
        <f t="shared" si="9"/>
        <v>54.433</v>
      </c>
      <c r="N163" s="7">
        <v>55.311</v>
      </c>
      <c r="O163" s="10">
        <f t="shared" si="10"/>
        <v>26.15795696</v>
      </c>
      <c r="R163" s="1" t="s">
        <v>115</v>
      </c>
      <c r="S163" s="1" t="s">
        <v>169</v>
      </c>
      <c r="U163" s="1">
        <f t="shared" si="11"/>
        <v>0.02459210215</v>
      </c>
      <c r="V163" s="1">
        <f t="shared" si="12"/>
        <v>0.04084178554</v>
      </c>
    </row>
    <row r="164" ht="14.25" customHeight="1">
      <c r="A164" s="1" t="s">
        <v>144</v>
      </c>
      <c r="B164" s="1" t="s">
        <v>206</v>
      </c>
      <c r="C164" s="6">
        <v>45902.0</v>
      </c>
      <c r="D164" s="6">
        <v>45902.0</v>
      </c>
      <c r="E164" s="1" t="s">
        <v>39</v>
      </c>
      <c r="H164" s="7">
        <v>1.924</v>
      </c>
      <c r="I164" s="7">
        <v>2.084</v>
      </c>
      <c r="J164" s="7">
        <v>0.108</v>
      </c>
      <c r="K164" s="7">
        <v>23.67</v>
      </c>
      <c r="L164" s="7">
        <v>1.1385</v>
      </c>
      <c r="M164" s="8">
        <f t="shared" si="9"/>
        <v>26.829</v>
      </c>
      <c r="N164" s="7">
        <v>28.753</v>
      </c>
      <c r="O164" s="10">
        <f t="shared" si="10"/>
        <v>25.2551603</v>
      </c>
      <c r="R164" s="1" t="s">
        <v>115</v>
      </c>
      <c r="S164" s="1" t="s">
        <v>169</v>
      </c>
      <c r="U164" s="1">
        <f t="shared" si="11"/>
        <v>0.09486166008</v>
      </c>
      <c r="V164" s="1">
        <f t="shared" si="12"/>
        <v>0.1393941502</v>
      </c>
    </row>
    <row r="165" ht="14.25" customHeight="1">
      <c r="A165" s="1" t="s">
        <v>144</v>
      </c>
      <c r="B165" s="1" t="s">
        <v>207</v>
      </c>
      <c r="C165" s="6">
        <v>45909.0</v>
      </c>
      <c r="D165" s="6">
        <v>45909.0</v>
      </c>
      <c r="E165" s="1" t="s">
        <v>19</v>
      </c>
      <c r="H165" s="7">
        <v>0.174</v>
      </c>
      <c r="I165" s="7">
        <v>3.834</v>
      </c>
      <c r="J165" s="7">
        <v>1.114</v>
      </c>
      <c r="K165" s="7">
        <v>168.116</v>
      </c>
      <c r="L165" s="7">
        <v>6.5005</v>
      </c>
      <c r="M165" s="8">
        <f t="shared" si="9"/>
        <v>83.8785</v>
      </c>
      <c r="N165" s="7">
        <v>84.05250000000001</v>
      </c>
      <c r="O165" s="10">
        <f t="shared" si="10"/>
        <v>12.93015922</v>
      </c>
      <c r="R165" s="1" t="s">
        <v>115</v>
      </c>
      <c r="S165" s="1" t="s">
        <v>169</v>
      </c>
      <c r="U165" s="1">
        <f t="shared" si="11"/>
        <v>0.171371433</v>
      </c>
      <c r="V165" s="1">
        <f t="shared" si="12"/>
        <v>0.04768448291</v>
      </c>
    </row>
    <row r="166" ht="14.25" customHeight="1">
      <c r="A166" s="1" t="s">
        <v>144</v>
      </c>
      <c r="B166" s="1" t="s">
        <v>208</v>
      </c>
      <c r="C166" s="6">
        <v>45909.0</v>
      </c>
      <c r="D166" s="6">
        <v>45909.0</v>
      </c>
      <c r="E166" s="1" t="s">
        <v>23</v>
      </c>
      <c r="H166" s="7">
        <v>1.643</v>
      </c>
      <c r="I166" s="7">
        <v>2.167</v>
      </c>
      <c r="J166" s="7">
        <v>0.694</v>
      </c>
      <c r="K166" s="7">
        <v>152.892</v>
      </c>
      <c r="L166" s="7">
        <v>3.739</v>
      </c>
      <c r="M166" s="8">
        <f t="shared" si="9"/>
        <v>68.7735</v>
      </c>
      <c r="N166" s="7">
        <v>70.4165</v>
      </c>
      <c r="O166" s="10">
        <f t="shared" si="10"/>
        <v>18.83297673</v>
      </c>
      <c r="R166" s="1" t="s">
        <v>115</v>
      </c>
      <c r="S166" s="1" t="s">
        <v>169</v>
      </c>
      <c r="U166" s="1">
        <f t="shared" si="11"/>
        <v>0.185611126</v>
      </c>
      <c r="V166" s="1">
        <f t="shared" si="12"/>
        <v>0.05410663694</v>
      </c>
    </row>
    <row r="167" ht="14.25" customHeight="1">
      <c r="A167" s="1" t="s">
        <v>144</v>
      </c>
      <c r="B167" s="1" t="s">
        <v>209</v>
      </c>
      <c r="C167" s="6">
        <v>45909.0</v>
      </c>
      <c r="D167" s="6">
        <v>45909.0</v>
      </c>
      <c r="E167" s="1" t="s">
        <v>25</v>
      </c>
      <c r="H167" s="7">
        <v>0.216</v>
      </c>
      <c r="I167" s="7">
        <v>1.714</v>
      </c>
      <c r="J167" s="7">
        <v>0.549</v>
      </c>
      <c r="K167" s="7">
        <v>143.068</v>
      </c>
      <c r="L167" s="7">
        <v>3.1304999999999996</v>
      </c>
      <c r="M167" s="8">
        <f t="shared" si="9"/>
        <v>66.8055</v>
      </c>
      <c r="N167" s="7">
        <v>67.0215</v>
      </c>
      <c r="O167" s="10">
        <f t="shared" si="10"/>
        <v>21.40919981</v>
      </c>
      <c r="R167" s="1" t="s">
        <v>115</v>
      </c>
      <c r="S167" s="1" t="s">
        <v>169</v>
      </c>
      <c r="U167" s="1">
        <f t="shared" si="11"/>
        <v>0.1753713464</v>
      </c>
      <c r="V167" s="1">
        <f t="shared" si="12"/>
        <v>0.02879672941</v>
      </c>
    </row>
    <row r="168" ht="14.25" customHeight="1">
      <c r="A168" s="1" t="s">
        <v>144</v>
      </c>
      <c r="B168" s="1" t="s">
        <v>210</v>
      </c>
      <c r="C168" s="6">
        <v>45909.0</v>
      </c>
      <c r="D168" s="6">
        <v>45909.0</v>
      </c>
      <c r="E168" s="1" t="s">
        <v>149</v>
      </c>
      <c r="H168" s="7">
        <v>1.216</v>
      </c>
      <c r="I168" s="7">
        <v>1.74</v>
      </c>
      <c r="J168" s="7">
        <v>0.387</v>
      </c>
      <c r="K168" s="7">
        <v>116.83</v>
      </c>
      <c r="L168" s="7">
        <v>2.8529999999999998</v>
      </c>
      <c r="M168" s="8">
        <f t="shared" si="9"/>
        <v>62.5205</v>
      </c>
      <c r="N168" s="7">
        <v>63.7365</v>
      </c>
      <c r="O168" s="10">
        <f t="shared" si="10"/>
        <v>22.34016824</v>
      </c>
      <c r="R168" s="1" t="s">
        <v>115</v>
      </c>
      <c r="S168" s="1" t="s">
        <v>169</v>
      </c>
      <c r="U168" s="1">
        <f t="shared" si="11"/>
        <v>0.1356466877</v>
      </c>
      <c r="V168" s="1">
        <f t="shared" si="12"/>
        <v>0.04637844877</v>
      </c>
    </row>
    <row r="169" ht="14.25" customHeight="1">
      <c r="A169" s="1" t="s">
        <v>144</v>
      </c>
      <c r="B169" s="1" t="s">
        <v>211</v>
      </c>
      <c r="C169" s="6">
        <v>45909.0</v>
      </c>
      <c r="D169" s="6">
        <v>45909.0</v>
      </c>
      <c r="E169" s="1" t="s">
        <v>29</v>
      </c>
      <c r="H169" s="7">
        <v>1.684</v>
      </c>
      <c r="I169" s="7">
        <v>0.86</v>
      </c>
      <c r="J169" s="7">
        <v>0.35</v>
      </c>
      <c r="K169" s="7">
        <v>99.641</v>
      </c>
      <c r="L169" s="7">
        <v>2.4314999999999998</v>
      </c>
      <c r="M169" s="8">
        <f t="shared" si="9"/>
        <v>52.4585</v>
      </c>
      <c r="N169" s="7">
        <v>54.1425</v>
      </c>
      <c r="O169" s="10">
        <f t="shared" si="10"/>
        <v>22.26711906</v>
      </c>
      <c r="R169" s="1" t="s">
        <v>115</v>
      </c>
      <c r="S169" s="1" t="s">
        <v>169</v>
      </c>
      <c r="U169" s="1">
        <f t="shared" si="11"/>
        <v>0.1439440674</v>
      </c>
      <c r="V169" s="1">
        <f t="shared" si="12"/>
        <v>0.04698711733</v>
      </c>
    </row>
    <row r="170" ht="14.25" customHeight="1">
      <c r="A170" s="1" t="s">
        <v>144</v>
      </c>
      <c r="B170" s="1" t="s">
        <v>212</v>
      </c>
      <c r="C170" s="6">
        <v>45909.0</v>
      </c>
      <c r="D170" s="6">
        <v>45909.0</v>
      </c>
      <c r="E170" s="1" t="s">
        <v>152</v>
      </c>
      <c r="H170" s="7">
        <v>0.0</v>
      </c>
      <c r="I170" s="7">
        <v>0.166</v>
      </c>
      <c r="J170" s="7">
        <v>0.119</v>
      </c>
      <c r="K170" s="7">
        <v>64.544</v>
      </c>
      <c r="L170" s="7">
        <v>1.9595</v>
      </c>
      <c r="M170" s="8">
        <f t="shared" si="9"/>
        <v>45.6925</v>
      </c>
      <c r="N170" s="7">
        <v>45.692499999999995</v>
      </c>
      <c r="O170" s="10">
        <f t="shared" si="10"/>
        <v>23.31844858</v>
      </c>
      <c r="R170" s="1" t="s">
        <v>115</v>
      </c>
      <c r="S170" s="1" t="s">
        <v>169</v>
      </c>
      <c r="U170" s="1">
        <f t="shared" si="11"/>
        <v>0.060729778</v>
      </c>
      <c r="V170" s="1">
        <f t="shared" si="12"/>
        <v>0.003632981343</v>
      </c>
    </row>
    <row r="171" ht="14.25" customHeight="1">
      <c r="A171" s="1" t="s">
        <v>144</v>
      </c>
      <c r="B171" s="1" t="s">
        <v>213</v>
      </c>
      <c r="C171" s="6">
        <v>45909.0</v>
      </c>
      <c r="D171" s="6">
        <v>45909.0</v>
      </c>
      <c r="E171" s="1" t="s">
        <v>154</v>
      </c>
      <c r="H171" s="7">
        <v>0.0</v>
      </c>
      <c r="I171" s="7">
        <v>12.296</v>
      </c>
      <c r="J171" s="7">
        <v>0.184</v>
      </c>
      <c r="K171" s="7">
        <v>69.045</v>
      </c>
      <c r="L171" s="7">
        <v>1.991</v>
      </c>
      <c r="M171" s="8">
        <f t="shared" si="9"/>
        <v>46.058</v>
      </c>
      <c r="N171" s="7">
        <v>46.058</v>
      </c>
      <c r="O171" s="10">
        <f t="shared" si="10"/>
        <v>23.13309895</v>
      </c>
      <c r="R171" s="1" t="s">
        <v>115</v>
      </c>
      <c r="S171" s="1" t="s">
        <v>169</v>
      </c>
      <c r="U171" s="1">
        <f t="shared" si="11"/>
        <v>0.09241587142</v>
      </c>
      <c r="V171" s="1">
        <f t="shared" si="12"/>
        <v>0.2669677363</v>
      </c>
    </row>
    <row r="172" ht="14.25" customHeight="1">
      <c r="A172" s="1" t="s">
        <v>144</v>
      </c>
      <c r="B172" s="1" t="s">
        <v>214</v>
      </c>
      <c r="C172" s="6">
        <v>45909.0</v>
      </c>
      <c r="D172" s="6">
        <v>45909.0</v>
      </c>
      <c r="E172" s="1" t="s">
        <v>156</v>
      </c>
      <c r="H172" s="19">
        <v>0.033</v>
      </c>
      <c r="I172" s="19">
        <v>43.085</v>
      </c>
      <c r="J172" s="7">
        <v>0.175</v>
      </c>
      <c r="K172" s="7">
        <v>43.09</v>
      </c>
      <c r="L172" s="7">
        <v>1.5415</v>
      </c>
      <c r="M172" s="8">
        <f t="shared" si="9"/>
        <v>38.5125</v>
      </c>
      <c r="N172" s="19">
        <v>38.5455</v>
      </c>
      <c r="O172" s="10">
        <f t="shared" si="10"/>
        <v>25.00518975</v>
      </c>
      <c r="R172" s="1" t="s">
        <v>115</v>
      </c>
      <c r="S172" s="1" t="s">
        <v>169</v>
      </c>
      <c r="U172" s="1">
        <f t="shared" si="11"/>
        <v>0.1135257866</v>
      </c>
      <c r="V172" s="1">
        <f t="shared" si="12"/>
        <v>1.118626039</v>
      </c>
    </row>
    <row r="173" ht="14.25" customHeight="1">
      <c r="A173" s="1" t="s">
        <v>144</v>
      </c>
      <c r="B173" s="1" t="s">
        <v>215</v>
      </c>
      <c r="C173" s="6">
        <v>45909.0</v>
      </c>
      <c r="D173" s="6">
        <v>45909.0</v>
      </c>
      <c r="E173" s="1" t="s">
        <v>158</v>
      </c>
      <c r="H173" s="7">
        <v>0.013</v>
      </c>
      <c r="I173" s="7">
        <v>1.286</v>
      </c>
      <c r="J173" s="7">
        <v>0.073</v>
      </c>
      <c r="K173" s="7">
        <v>57.218</v>
      </c>
      <c r="L173" s="7">
        <v>1.883</v>
      </c>
      <c r="M173" s="8">
        <f t="shared" si="9"/>
        <v>49.1965</v>
      </c>
      <c r="N173" s="7">
        <v>49.2095</v>
      </c>
      <c r="O173" s="10">
        <f t="shared" si="10"/>
        <v>26.13356346</v>
      </c>
      <c r="R173" s="1" t="s">
        <v>115</v>
      </c>
      <c r="S173" s="1" t="s">
        <v>169</v>
      </c>
      <c r="U173" s="1">
        <f t="shared" si="11"/>
        <v>0.03876792353</v>
      </c>
      <c r="V173" s="1">
        <f t="shared" si="12"/>
        <v>0.02639734198</v>
      </c>
    </row>
    <row r="174" ht="14.25" customHeight="1">
      <c r="A174" s="1" t="s">
        <v>144</v>
      </c>
      <c r="B174" s="1" t="s">
        <v>216</v>
      </c>
      <c r="C174" s="6">
        <v>45909.0</v>
      </c>
      <c r="D174" s="6">
        <v>45909.0</v>
      </c>
      <c r="E174" s="1" t="s">
        <v>39</v>
      </c>
      <c r="H174" s="7">
        <v>2.839</v>
      </c>
      <c r="I174" s="7">
        <v>1.588</v>
      </c>
      <c r="J174" s="7">
        <v>0.224</v>
      </c>
      <c r="K174" s="7">
        <v>31.127</v>
      </c>
      <c r="L174" s="7">
        <v>1.078</v>
      </c>
      <c r="M174" s="8">
        <f t="shared" si="9"/>
        <v>26.171</v>
      </c>
      <c r="N174" s="7">
        <v>29.01</v>
      </c>
      <c r="O174" s="10">
        <f t="shared" si="10"/>
        <v>26.9109462</v>
      </c>
      <c r="R174" s="1" t="s">
        <v>115</v>
      </c>
      <c r="S174" s="1" t="s">
        <v>169</v>
      </c>
      <c r="U174" s="1">
        <f t="shared" si="11"/>
        <v>0.2077922078</v>
      </c>
      <c r="V174" s="1">
        <f t="shared" si="12"/>
        <v>0.1526025508</v>
      </c>
    </row>
    <row r="175" ht="14.25" customHeight="1">
      <c r="A175" s="1" t="s">
        <v>144</v>
      </c>
      <c r="B175" s="1" t="s">
        <v>217</v>
      </c>
      <c r="C175" s="6">
        <v>45916.0</v>
      </c>
      <c r="D175" s="6">
        <v>45916.0</v>
      </c>
      <c r="E175" s="1" t="s">
        <v>19</v>
      </c>
      <c r="H175" s="7">
        <v>0.0</v>
      </c>
      <c r="I175" s="7">
        <v>1.25</v>
      </c>
      <c r="J175" s="7">
        <v>1.721</v>
      </c>
      <c r="K175" s="7">
        <v>193.858</v>
      </c>
      <c r="L175" s="7">
        <v>4.959</v>
      </c>
      <c r="M175" s="8">
        <f t="shared" si="9"/>
        <v>67.47</v>
      </c>
      <c r="N175" s="7">
        <v>67.47</v>
      </c>
      <c r="O175" s="10">
        <f t="shared" si="10"/>
        <v>13.60556564</v>
      </c>
      <c r="R175" s="1" t="s">
        <v>115</v>
      </c>
      <c r="S175" s="1" t="s">
        <v>218</v>
      </c>
      <c r="U175" s="1">
        <f t="shared" si="11"/>
        <v>0.3470457754</v>
      </c>
      <c r="V175" s="1">
        <f t="shared" si="12"/>
        <v>0.01852675263</v>
      </c>
    </row>
    <row r="176" ht="14.25" customHeight="1">
      <c r="A176" s="1" t="s">
        <v>144</v>
      </c>
      <c r="B176" s="1" t="s">
        <v>219</v>
      </c>
      <c r="C176" s="6">
        <v>45916.0</v>
      </c>
      <c r="D176" s="6">
        <v>45916.0</v>
      </c>
      <c r="E176" s="1" t="s">
        <v>23</v>
      </c>
      <c r="H176" s="7">
        <v>0.0</v>
      </c>
      <c r="I176" s="7">
        <v>0.781</v>
      </c>
      <c r="J176" s="7">
        <v>0.435</v>
      </c>
      <c r="K176" s="7">
        <v>200.599</v>
      </c>
      <c r="L176" s="7">
        <v>3.5469999999999997</v>
      </c>
      <c r="M176" s="8">
        <f t="shared" si="9"/>
        <v>77.444</v>
      </c>
      <c r="N176" s="7">
        <v>77.444</v>
      </c>
      <c r="O176" s="10">
        <f t="shared" si="10"/>
        <v>21.83366225</v>
      </c>
      <c r="R176" s="1" t="s">
        <v>115</v>
      </c>
      <c r="S176" s="1" t="s">
        <v>218</v>
      </c>
      <c r="U176" s="1">
        <f t="shared" si="11"/>
        <v>0.1226388497</v>
      </c>
      <c r="V176" s="1">
        <f t="shared" si="12"/>
        <v>0.01008470637</v>
      </c>
    </row>
    <row r="177" ht="14.25" customHeight="1">
      <c r="A177" s="1" t="s">
        <v>144</v>
      </c>
      <c r="B177" s="1" t="s">
        <v>220</v>
      </c>
      <c r="C177" s="6">
        <v>45916.0</v>
      </c>
      <c r="D177" s="6">
        <v>45916.0</v>
      </c>
      <c r="E177" s="1" t="s">
        <v>25</v>
      </c>
      <c r="H177" s="7">
        <v>0.439</v>
      </c>
      <c r="I177" s="7">
        <v>0.0</v>
      </c>
      <c r="J177" s="7">
        <v>0.444</v>
      </c>
      <c r="K177" s="7">
        <v>142.8</v>
      </c>
      <c r="L177" s="7">
        <v>2.538</v>
      </c>
      <c r="M177" s="8">
        <f t="shared" si="9"/>
        <v>56.426</v>
      </c>
      <c r="N177" s="7">
        <v>56.865</v>
      </c>
      <c r="O177" s="10">
        <f t="shared" si="10"/>
        <v>22.40543735</v>
      </c>
      <c r="R177" s="1" t="s">
        <v>115</v>
      </c>
      <c r="S177" s="1" t="s">
        <v>218</v>
      </c>
      <c r="U177" s="1">
        <f t="shared" si="11"/>
        <v>0.1749408983</v>
      </c>
      <c r="V177" s="1">
        <f t="shared" si="12"/>
        <v>0.007720038688</v>
      </c>
    </row>
    <row r="178" ht="14.25" customHeight="1">
      <c r="A178" s="1" t="s">
        <v>144</v>
      </c>
      <c r="B178" s="1" t="s">
        <v>221</v>
      </c>
      <c r="C178" s="6">
        <v>45916.0</v>
      </c>
      <c r="D178" s="6">
        <v>45916.0</v>
      </c>
      <c r="E178" s="1" t="s">
        <v>149</v>
      </c>
      <c r="H178" s="7">
        <v>0.0</v>
      </c>
      <c r="I178" s="7">
        <v>1.141</v>
      </c>
      <c r="J178" s="7">
        <v>0.387</v>
      </c>
      <c r="K178" s="7">
        <v>151.85</v>
      </c>
      <c r="L178" s="7">
        <v>2.566</v>
      </c>
      <c r="M178" s="8">
        <f t="shared" si="9"/>
        <v>58.22</v>
      </c>
      <c r="N178" s="7">
        <v>58.22</v>
      </c>
      <c r="O178" s="10">
        <f t="shared" si="10"/>
        <v>22.68901013</v>
      </c>
      <c r="R178" s="1" t="s">
        <v>115</v>
      </c>
      <c r="S178" s="1" t="s">
        <v>218</v>
      </c>
      <c r="U178" s="1">
        <f t="shared" si="11"/>
        <v>0.1508183944</v>
      </c>
      <c r="V178" s="1">
        <f t="shared" si="12"/>
        <v>0.01959807626</v>
      </c>
    </row>
    <row r="179" ht="14.25" customHeight="1">
      <c r="A179" s="1" t="s">
        <v>144</v>
      </c>
      <c r="B179" s="1" t="s">
        <v>222</v>
      </c>
      <c r="C179" s="6">
        <v>45916.0</v>
      </c>
      <c r="D179" s="6">
        <v>45916.0</v>
      </c>
      <c r="E179" s="1" t="s">
        <v>29</v>
      </c>
      <c r="H179" s="7">
        <v>0.18</v>
      </c>
      <c r="I179" s="7">
        <v>1.292</v>
      </c>
      <c r="J179" s="7">
        <v>0.146</v>
      </c>
      <c r="K179" s="7">
        <v>105.27</v>
      </c>
      <c r="L179" s="7">
        <v>2.6995</v>
      </c>
      <c r="M179" s="8">
        <f t="shared" si="9"/>
        <v>71.192</v>
      </c>
      <c r="N179" s="7">
        <v>71.372</v>
      </c>
      <c r="O179" s="10">
        <f t="shared" si="10"/>
        <v>26.43897018</v>
      </c>
      <c r="R179" s="1" t="s">
        <v>115</v>
      </c>
      <c r="S179" s="1" t="s">
        <v>218</v>
      </c>
      <c r="U179" s="1">
        <f t="shared" si="11"/>
        <v>0.05408408965</v>
      </c>
      <c r="V179" s="1">
        <f t="shared" si="12"/>
        <v>0.02062433447</v>
      </c>
    </row>
    <row r="180" ht="14.25" customHeight="1">
      <c r="A180" s="1" t="s">
        <v>144</v>
      </c>
      <c r="B180" s="1" t="s">
        <v>223</v>
      </c>
      <c r="C180" s="6">
        <v>45916.0</v>
      </c>
      <c r="D180" s="6">
        <v>45916.0</v>
      </c>
      <c r="E180" s="1" t="s">
        <v>152</v>
      </c>
      <c r="H180" s="7">
        <v>0.045</v>
      </c>
      <c r="I180" s="7">
        <v>0.074</v>
      </c>
      <c r="J180" s="7">
        <v>0.172</v>
      </c>
      <c r="K180" s="7">
        <v>90.39</v>
      </c>
      <c r="L180" s="7">
        <v>1.9685</v>
      </c>
      <c r="M180" s="8">
        <f t="shared" si="9"/>
        <v>47.5005</v>
      </c>
      <c r="N180" s="7">
        <v>47.545500000000004</v>
      </c>
      <c r="O180" s="10">
        <f t="shared" si="10"/>
        <v>24.15316231</v>
      </c>
      <c r="R180" s="1" t="s">
        <v>115</v>
      </c>
      <c r="S180" s="1" t="s">
        <v>218</v>
      </c>
      <c r="U180" s="1">
        <f t="shared" si="11"/>
        <v>0.08737617475</v>
      </c>
      <c r="V180" s="1">
        <f t="shared" si="12"/>
        <v>0.002502865676</v>
      </c>
    </row>
    <row r="181" ht="14.25" customHeight="1">
      <c r="A181" s="1" t="s">
        <v>144</v>
      </c>
      <c r="B181" s="1" t="s">
        <v>224</v>
      </c>
      <c r="C181" s="6">
        <v>45916.0</v>
      </c>
      <c r="D181" s="6">
        <v>45916.0</v>
      </c>
      <c r="E181" s="1" t="s">
        <v>154</v>
      </c>
      <c r="H181" s="7">
        <v>0.028</v>
      </c>
      <c r="I181" s="7">
        <v>1.171</v>
      </c>
      <c r="J181" s="7">
        <v>0.218</v>
      </c>
      <c r="K181" s="7">
        <v>77.304</v>
      </c>
      <c r="L181" s="7">
        <v>1.8275000000000001</v>
      </c>
      <c r="M181" s="8">
        <f t="shared" si="9"/>
        <v>45.7775</v>
      </c>
      <c r="N181" s="7">
        <v>45.805499999999995</v>
      </c>
      <c r="O181" s="10">
        <f t="shared" si="10"/>
        <v>25.06456908</v>
      </c>
      <c r="R181" s="1" t="s">
        <v>115</v>
      </c>
      <c r="S181" s="1" t="s">
        <v>218</v>
      </c>
      <c r="U181" s="1">
        <f t="shared" si="11"/>
        <v>0.1192886457</v>
      </c>
      <c r="V181" s="1">
        <f t="shared" si="12"/>
        <v>0.02617589591</v>
      </c>
    </row>
    <row r="182" ht="14.25" customHeight="1">
      <c r="A182" s="1" t="s">
        <v>144</v>
      </c>
      <c r="B182" s="1" t="s">
        <v>225</v>
      </c>
      <c r="C182" s="6">
        <v>45916.0</v>
      </c>
      <c r="D182" s="6">
        <v>45916.0</v>
      </c>
      <c r="E182" s="1" t="s">
        <v>156</v>
      </c>
      <c r="H182" s="7">
        <v>0.0</v>
      </c>
      <c r="I182" s="7">
        <v>0.0</v>
      </c>
      <c r="J182" s="7">
        <v>0.14</v>
      </c>
      <c r="K182" s="7">
        <v>56.145</v>
      </c>
      <c r="L182" s="7">
        <v>1.5665</v>
      </c>
      <c r="M182" s="8">
        <f t="shared" si="9"/>
        <v>40.6845</v>
      </c>
      <c r="N182" s="7">
        <v>40.6845</v>
      </c>
      <c r="O182" s="10">
        <f t="shared" si="10"/>
        <v>25.97159272</v>
      </c>
      <c r="R182" s="1" t="s">
        <v>115</v>
      </c>
      <c r="S182" s="1" t="s">
        <v>218</v>
      </c>
      <c r="U182" s="1">
        <f t="shared" si="11"/>
        <v>0.0893712097</v>
      </c>
      <c r="V182" s="1">
        <f t="shared" si="12"/>
        <v>0</v>
      </c>
    </row>
    <row r="183" ht="14.25" customHeight="1">
      <c r="A183" s="1" t="s">
        <v>144</v>
      </c>
      <c r="B183" s="1" t="s">
        <v>226</v>
      </c>
      <c r="C183" s="6">
        <v>45916.0</v>
      </c>
      <c r="D183" s="6">
        <v>45916.0</v>
      </c>
      <c r="E183" s="1" t="s">
        <v>158</v>
      </c>
      <c r="H183" s="7">
        <v>0.0</v>
      </c>
      <c r="I183" s="7">
        <v>0.371</v>
      </c>
      <c r="J183" s="7">
        <v>0.067</v>
      </c>
      <c r="K183" s="7">
        <v>50.361</v>
      </c>
      <c r="L183" s="7">
        <v>1.786</v>
      </c>
      <c r="M183" s="8">
        <f t="shared" si="9"/>
        <v>45.5695</v>
      </c>
      <c r="N183" s="7">
        <v>45.5695</v>
      </c>
      <c r="O183" s="10">
        <f t="shared" si="10"/>
        <v>25.51483763</v>
      </c>
      <c r="R183" s="1" t="s">
        <v>115</v>
      </c>
      <c r="S183" s="1" t="s">
        <v>218</v>
      </c>
      <c r="U183" s="1">
        <f t="shared" si="11"/>
        <v>0.03751399776</v>
      </c>
      <c r="V183" s="1">
        <f t="shared" si="12"/>
        <v>0.008141410373</v>
      </c>
    </row>
    <row r="184" ht="14.25" customHeight="1">
      <c r="A184" s="1" t="s">
        <v>144</v>
      </c>
      <c r="B184" s="1" t="s">
        <v>227</v>
      </c>
      <c r="C184" s="6">
        <v>45869.0</v>
      </c>
      <c r="D184" s="6">
        <v>45869.0</v>
      </c>
      <c r="E184" s="1" t="s">
        <v>114</v>
      </c>
      <c r="H184" s="7">
        <v>0.101</v>
      </c>
      <c r="I184" s="7">
        <v>0.95</v>
      </c>
      <c r="J184" s="7">
        <v>0.018</v>
      </c>
      <c r="K184" s="7">
        <v>334.72</v>
      </c>
      <c r="L184" s="7">
        <v>5.364</v>
      </c>
      <c r="M184" s="8">
        <f t="shared" si="9"/>
        <v>145.6565</v>
      </c>
      <c r="N184" s="7">
        <v>145.7575</v>
      </c>
      <c r="O184" s="10">
        <f t="shared" si="10"/>
        <v>27.17328486</v>
      </c>
      <c r="R184" s="1" t="s">
        <v>228</v>
      </c>
      <c r="S184" s="1" t="s">
        <v>218</v>
      </c>
      <c r="U184" s="1">
        <f t="shared" si="11"/>
        <v>0.003355704698</v>
      </c>
      <c r="V184" s="1">
        <f t="shared" si="12"/>
        <v>0.007210606658</v>
      </c>
    </row>
    <row r="185" ht="14.25" customHeight="1">
      <c r="A185" s="1" t="s">
        <v>144</v>
      </c>
      <c r="B185" s="1" t="s">
        <v>229</v>
      </c>
      <c r="C185" s="6">
        <v>45869.0</v>
      </c>
      <c r="D185" s="6">
        <v>45869.0</v>
      </c>
      <c r="E185" s="1" t="s">
        <v>117</v>
      </c>
      <c r="H185" s="7">
        <v>0.129</v>
      </c>
      <c r="I185" s="7">
        <v>0.631</v>
      </c>
      <c r="J185" s="7">
        <v>0.093</v>
      </c>
      <c r="K185" s="7">
        <v>334.56000000000006</v>
      </c>
      <c r="L185" s="7">
        <v>8.885</v>
      </c>
      <c r="M185" s="8">
        <f t="shared" si="9"/>
        <v>178.5435</v>
      </c>
      <c r="N185" s="7">
        <v>178.6725</v>
      </c>
      <c r="O185" s="10">
        <f t="shared" si="10"/>
        <v>20.10945414</v>
      </c>
      <c r="R185" s="1" t="s">
        <v>228</v>
      </c>
      <c r="S185" s="1" t="s">
        <v>218</v>
      </c>
      <c r="U185" s="1">
        <f t="shared" si="11"/>
        <v>0.01046707935</v>
      </c>
      <c r="V185" s="1">
        <f t="shared" si="12"/>
        <v>0.004253592467</v>
      </c>
    </row>
    <row r="186" ht="14.25" customHeight="1">
      <c r="A186" s="1" t="s">
        <v>144</v>
      </c>
      <c r="B186" s="1" t="s">
        <v>230</v>
      </c>
      <c r="C186" s="6">
        <v>45869.0</v>
      </c>
      <c r="D186" s="6">
        <v>45869.0</v>
      </c>
      <c r="E186" s="1" t="s">
        <v>119</v>
      </c>
      <c r="H186" s="7">
        <v>0.101</v>
      </c>
      <c r="I186" s="7">
        <v>0.712</v>
      </c>
      <c r="J186" s="7">
        <v>0.024</v>
      </c>
      <c r="K186" s="7">
        <v>343.46</v>
      </c>
      <c r="L186" s="7">
        <v>5.054</v>
      </c>
      <c r="M186" s="8">
        <f t="shared" si="9"/>
        <v>135.7845</v>
      </c>
      <c r="N186" s="7">
        <v>135.8855</v>
      </c>
      <c r="O186" s="10">
        <f t="shared" si="10"/>
        <v>26.88672339</v>
      </c>
      <c r="R186" s="1" t="s">
        <v>228</v>
      </c>
      <c r="S186" s="1" t="s">
        <v>218</v>
      </c>
      <c r="U186" s="1">
        <f t="shared" si="11"/>
        <v>0.00474871389</v>
      </c>
      <c r="V186" s="1">
        <f t="shared" si="12"/>
        <v>0.005982978316</v>
      </c>
    </row>
    <row r="187" ht="14.25" customHeight="1">
      <c r="A187" s="1" t="s">
        <v>144</v>
      </c>
      <c r="B187" s="1" t="s">
        <v>231</v>
      </c>
      <c r="C187" s="6">
        <v>45869.0</v>
      </c>
      <c r="D187" s="6">
        <v>45869.0</v>
      </c>
      <c r="E187" s="1" t="s">
        <v>121</v>
      </c>
      <c r="H187" s="7">
        <v>0.055</v>
      </c>
      <c r="I187" s="7">
        <v>0.458</v>
      </c>
      <c r="J187" s="7">
        <v>0.03</v>
      </c>
      <c r="K187" s="7">
        <v>339.68000000000006</v>
      </c>
      <c r="L187" s="7">
        <v>5.5794999999999995</v>
      </c>
      <c r="M187" s="8">
        <f t="shared" si="9"/>
        <v>145.5235</v>
      </c>
      <c r="N187" s="7">
        <v>145.57850000000002</v>
      </c>
      <c r="O187" s="10">
        <f t="shared" si="10"/>
        <v>26.09167488</v>
      </c>
      <c r="R187" s="1" t="s">
        <v>228</v>
      </c>
      <c r="S187" s="1" t="s">
        <v>218</v>
      </c>
      <c r="U187" s="1">
        <f t="shared" si="11"/>
        <v>0.00537682588</v>
      </c>
      <c r="V187" s="1">
        <f t="shared" si="12"/>
        <v>0.003523872</v>
      </c>
    </row>
    <row r="188" ht="14.25" customHeight="1">
      <c r="A188" s="1" t="s">
        <v>144</v>
      </c>
      <c r="B188" s="1" t="s">
        <v>232</v>
      </c>
      <c r="C188" s="6">
        <v>45883.0</v>
      </c>
      <c r="D188" s="6">
        <v>45883.0</v>
      </c>
      <c r="E188" s="1" t="s">
        <v>114</v>
      </c>
      <c r="H188" s="7">
        <v>0.208</v>
      </c>
      <c r="I188" s="7">
        <v>1.047</v>
      </c>
      <c r="J188" s="7">
        <v>0.041</v>
      </c>
      <c r="K188" s="7">
        <v>379.66</v>
      </c>
      <c r="L188" s="7">
        <v>6.8149999999999995</v>
      </c>
      <c r="M188" s="8">
        <f t="shared" si="9"/>
        <v>220.5695</v>
      </c>
      <c r="N188" s="7">
        <v>220.7775</v>
      </c>
      <c r="O188" s="10">
        <f t="shared" si="10"/>
        <v>32.39581805</v>
      </c>
      <c r="R188" s="1" t="s">
        <v>228</v>
      </c>
      <c r="S188" s="1" t="s">
        <v>218</v>
      </c>
      <c r="U188" s="1">
        <f t="shared" si="11"/>
        <v>0.006016140866</v>
      </c>
      <c r="V188" s="1">
        <f t="shared" si="12"/>
        <v>0.00568445607</v>
      </c>
    </row>
    <row r="189" ht="14.25" customHeight="1">
      <c r="A189" s="1" t="s">
        <v>144</v>
      </c>
      <c r="B189" s="1" t="s">
        <v>233</v>
      </c>
      <c r="C189" s="6">
        <v>45883.0</v>
      </c>
      <c r="D189" s="6">
        <v>45883.0</v>
      </c>
      <c r="E189" s="1" t="s">
        <v>117</v>
      </c>
      <c r="H189" s="7">
        <v>0.781</v>
      </c>
      <c r="I189" s="7">
        <v>0.948</v>
      </c>
      <c r="J189" s="7">
        <v>0.121</v>
      </c>
      <c r="K189" s="7">
        <v>376.52</v>
      </c>
      <c r="L189" s="7">
        <v>11.877500000000001</v>
      </c>
      <c r="M189" s="8">
        <f t="shared" si="9"/>
        <v>279.9405</v>
      </c>
      <c r="N189" s="7">
        <v>280.7215</v>
      </c>
      <c r="O189" s="10">
        <f t="shared" si="10"/>
        <v>23.63472953</v>
      </c>
      <c r="R189" s="1" t="s">
        <v>228</v>
      </c>
      <c r="S189" s="1" t="s">
        <v>218</v>
      </c>
      <c r="U189" s="1">
        <f t="shared" si="11"/>
        <v>0.01018732898</v>
      </c>
      <c r="V189" s="1">
        <f t="shared" si="12"/>
        <v>0.006159129244</v>
      </c>
    </row>
    <row r="190" ht="14.25" customHeight="1">
      <c r="A190" s="1" t="s">
        <v>144</v>
      </c>
      <c r="B190" s="1" t="s">
        <v>234</v>
      </c>
      <c r="C190" s="6">
        <v>45883.0</v>
      </c>
      <c r="D190" s="6">
        <v>45883.0</v>
      </c>
      <c r="E190" s="1" t="s">
        <v>119</v>
      </c>
      <c r="H190" s="7">
        <v>0.732</v>
      </c>
      <c r="I190" s="7">
        <v>2.385</v>
      </c>
      <c r="J190" s="7">
        <v>0.168</v>
      </c>
      <c r="K190" s="7">
        <v>366.86</v>
      </c>
      <c r="L190" s="7">
        <v>11.915</v>
      </c>
      <c r="M190" s="8">
        <f t="shared" si="9"/>
        <v>337.1875</v>
      </c>
      <c r="N190" s="7">
        <v>337.91949999999997</v>
      </c>
      <c r="O190" s="10">
        <f t="shared" si="10"/>
        <v>28.36084767</v>
      </c>
      <c r="R190" s="1" t="s">
        <v>228</v>
      </c>
      <c r="S190" s="1" t="s">
        <v>218</v>
      </c>
      <c r="U190" s="1">
        <f t="shared" si="11"/>
        <v>0.01409987411</v>
      </c>
      <c r="V190" s="1">
        <f t="shared" si="12"/>
        <v>0.009224090353</v>
      </c>
    </row>
    <row r="191" ht="14.25" customHeight="1">
      <c r="A191" s="1" t="s">
        <v>144</v>
      </c>
      <c r="B191" s="1" t="s">
        <v>235</v>
      </c>
      <c r="C191" s="6">
        <v>45883.0</v>
      </c>
      <c r="D191" s="6">
        <v>45883.0</v>
      </c>
      <c r="E191" s="1" t="s">
        <v>121</v>
      </c>
      <c r="H191" s="7">
        <v>0.172</v>
      </c>
      <c r="I191" s="7">
        <v>0.8</v>
      </c>
      <c r="J191" s="7">
        <v>0.172</v>
      </c>
      <c r="K191" s="7">
        <v>353.37</v>
      </c>
      <c r="L191" s="7">
        <v>17.2225</v>
      </c>
      <c r="M191" s="8">
        <f t="shared" si="9"/>
        <v>495.998</v>
      </c>
      <c r="N191" s="7">
        <v>496.16999999999996</v>
      </c>
      <c r="O191" s="10">
        <f t="shared" si="10"/>
        <v>28.8094063</v>
      </c>
      <c r="R191" s="1" t="s">
        <v>228</v>
      </c>
      <c r="S191" s="1" t="s">
        <v>218</v>
      </c>
      <c r="U191" s="1">
        <f t="shared" si="11"/>
        <v>0.009986935695</v>
      </c>
      <c r="V191" s="1">
        <f t="shared" si="12"/>
        <v>0.001959005986</v>
      </c>
    </row>
    <row r="192" ht="14.25" customHeight="1">
      <c r="A192" s="1" t="s">
        <v>144</v>
      </c>
      <c r="B192" s="1" t="s">
        <v>236</v>
      </c>
      <c r="C192" s="6">
        <v>45883.0</v>
      </c>
      <c r="D192" s="6">
        <v>45883.0</v>
      </c>
      <c r="E192" s="1" t="s">
        <v>237</v>
      </c>
      <c r="H192" s="7">
        <v>0.003</v>
      </c>
      <c r="I192" s="7">
        <v>1.191</v>
      </c>
      <c r="J192" s="7">
        <v>0.423</v>
      </c>
      <c r="K192" s="7">
        <v>380.43</v>
      </c>
      <c r="L192" s="7">
        <v>7.4990000000000006</v>
      </c>
      <c r="M192" s="8">
        <f t="shared" si="9"/>
        <v>243.828</v>
      </c>
      <c r="N192" s="7">
        <v>243.83100000000002</v>
      </c>
      <c r="O192" s="10">
        <f t="shared" si="10"/>
        <v>32.51513535</v>
      </c>
      <c r="R192" s="1" t="s">
        <v>228</v>
      </c>
      <c r="S192" s="1" t="s">
        <v>218</v>
      </c>
      <c r="U192" s="1">
        <f t="shared" si="11"/>
        <v>0.056407521</v>
      </c>
      <c r="V192" s="1">
        <f t="shared" si="12"/>
        <v>0.004896834283</v>
      </c>
    </row>
    <row r="193" ht="14.25" customHeight="1">
      <c r="A193" s="1" t="s">
        <v>144</v>
      </c>
      <c r="B193" s="1" t="s">
        <v>238</v>
      </c>
      <c r="C193" s="6">
        <v>45883.0</v>
      </c>
      <c r="D193" s="6">
        <v>45883.0</v>
      </c>
      <c r="E193" s="1" t="s">
        <v>239</v>
      </c>
      <c r="H193" s="7">
        <v>0.542</v>
      </c>
      <c r="I193" s="7">
        <v>1.147</v>
      </c>
      <c r="J193" s="7">
        <v>0.165</v>
      </c>
      <c r="K193" s="7">
        <v>389.24</v>
      </c>
      <c r="L193" s="7">
        <v>8.4115</v>
      </c>
      <c r="M193" s="8">
        <f t="shared" si="9"/>
        <v>280.921</v>
      </c>
      <c r="N193" s="7">
        <v>281.46299999999997</v>
      </c>
      <c r="O193" s="10">
        <f t="shared" si="10"/>
        <v>33.46168935</v>
      </c>
      <c r="R193" s="1" t="s">
        <v>228</v>
      </c>
      <c r="S193" s="1" t="s">
        <v>218</v>
      </c>
      <c r="U193" s="1">
        <f t="shared" si="11"/>
        <v>0.0196160019</v>
      </c>
      <c r="V193" s="1">
        <f t="shared" si="12"/>
        <v>0.006000788736</v>
      </c>
    </row>
    <row r="194" ht="14.25" customHeight="1">
      <c r="A194" s="1" t="s">
        <v>144</v>
      </c>
      <c r="B194" s="1" t="s">
        <v>240</v>
      </c>
      <c r="C194" s="6">
        <v>45898.0</v>
      </c>
      <c r="D194" s="6">
        <v>45898.0</v>
      </c>
      <c r="E194" s="1" t="s">
        <v>114</v>
      </c>
      <c r="H194" s="7">
        <v>0.02</v>
      </c>
      <c r="I194" s="7">
        <v>0.919</v>
      </c>
      <c r="J194" s="7">
        <v>0.043</v>
      </c>
      <c r="K194" s="7">
        <v>430.43999999999994</v>
      </c>
      <c r="L194" s="7">
        <v>8.9345</v>
      </c>
      <c r="M194" s="8">
        <f t="shared" si="9"/>
        <v>247.8405</v>
      </c>
      <c r="N194" s="7">
        <v>247.8605</v>
      </c>
      <c r="O194" s="10">
        <f t="shared" si="10"/>
        <v>27.74195534</v>
      </c>
      <c r="R194" s="1" t="s">
        <v>228</v>
      </c>
      <c r="S194" s="1" t="s">
        <v>218</v>
      </c>
      <c r="U194" s="1">
        <f t="shared" si="11"/>
        <v>0.004812804298</v>
      </c>
      <c r="V194" s="1">
        <f t="shared" si="12"/>
        <v>0.00378842131</v>
      </c>
    </row>
    <row r="195" ht="14.25" customHeight="1">
      <c r="A195" s="1" t="s">
        <v>144</v>
      </c>
      <c r="B195" s="1" t="s">
        <v>241</v>
      </c>
      <c r="C195" s="6">
        <v>45898.0</v>
      </c>
      <c r="D195" s="6">
        <v>45898.0</v>
      </c>
      <c r="E195" s="1" t="s">
        <v>117</v>
      </c>
      <c r="H195" s="7">
        <v>0.434</v>
      </c>
      <c r="I195" s="7">
        <v>6.238</v>
      </c>
      <c r="J195" s="7">
        <v>0.158</v>
      </c>
      <c r="K195" s="7">
        <v>426.28999999999996</v>
      </c>
      <c r="L195" s="7">
        <v>10.455</v>
      </c>
      <c r="M195" s="8">
        <f t="shared" si="9"/>
        <v>246.0185</v>
      </c>
      <c r="N195" s="7">
        <v>246.4525</v>
      </c>
      <c r="O195" s="10">
        <f t="shared" si="10"/>
        <v>23.57269249</v>
      </c>
      <c r="R195" s="1" t="s">
        <v>228</v>
      </c>
      <c r="S195" s="1" t="s">
        <v>218</v>
      </c>
      <c r="U195" s="1">
        <f t="shared" si="11"/>
        <v>0.01511238642</v>
      </c>
      <c r="V195" s="1">
        <f t="shared" si="12"/>
        <v>0.02707215386</v>
      </c>
    </row>
    <row r="196" ht="14.25" customHeight="1">
      <c r="A196" s="1" t="s">
        <v>144</v>
      </c>
      <c r="B196" s="1" t="s">
        <v>242</v>
      </c>
      <c r="C196" s="6">
        <v>45898.0</v>
      </c>
      <c r="D196" s="6">
        <v>45898.0</v>
      </c>
      <c r="E196" s="1" t="s">
        <v>119</v>
      </c>
      <c r="H196" s="7">
        <v>1.343</v>
      </c>
      <c r="I196" s="7">
        <v>1.81</v>
      </c>
      <c r="J196" s="7">
        <v>0.077</v>
      </c>
      <c r="K196" s="7">
        <v>425.40999999999997</v>
      </c>
      <c r="L196" s="7">
        <v>8.964</v>
      </c>
      <c r="M196" s="8">
        <f t="shared" si="9"/>
        <v>234.4215</v>
      </c>
      <c r="N196" s="7">
        <v>235.7645</v>
      </c>
      <c r="O196" s="10">
        <f t="shared" si="10"/>
        <v>26.3012606</v>
      </c>
      <c r="R196" s="1" t="s">
        <v>228</v>
      </c>
      <c r="S196" s="1" t="s">
        <v>218</v>
      </c>
      <c r="U196" s="1">
        <f t="shared" si="11"/>
        <v>0.008589915216</v>
      </c>
      <c r="V196" s="1">
        <f t="shared" si="12"/>
        <v>0.01337351467</v>
      </c>
    </row>
    <row r="197" ht="14.25" customHeight="1">
      <c r="A197" s="1" t="s">
        <v>144</v>
      </c>
      <c r="B197" s="1" t="s">
        <v>243</v>
      </c>
      <c r="C197" s="6">
        <v>45898.0</v>
      </c>
      <c r="D197" s="6">
        <v>45898.0</v>
      </c>
      <c r="E197" s="1" t="s">
        <v>121</v>
      </c>
      <c r="H197" s="7">
        <v>0.451</v>
      </c>
      <c r="I197" s="7">
        <v>4.746</v>
      </c>
      <c r="J197" s="7">
        <v>0.063</v>
      </c>
      <c r="K197" s="7">
        <v>444.13</v>
      </c>
      <c r="L197" s="7">
        <v>8.745999999999999</v>
      </c>
      <c r="M197" s="8">
        <f t="shared" si="9"/>
        <v>231.612</v>
      </c>
      <c r="N197" s="7">
        <v>232.063</v>
      </c>
      <c r="O197" s="10">
        <f t="shared" si="10"/>
        <v>26.53361537</v>
      </c>
      <c r="R197" s="1" t="s">
        <v>228</v>
      </c>
      <c r="S197" s="1" t="s">
        <v>218</v>
      </c>
      <c r="U197" s="1">
        <f t="shared" si="11"/>
        <v>0.007203292934</v>
      </c>
      <c r="V197" s="1">
        <f t="shared" si="12"/>
        <v>0.02239478073</v>
      </c>
    </row>
    <row r="198" ht="14.25" customHeight="1">
      <c r="A198" s="1" t="s">
        <v>144</v>
      </c>
      <c r="B198" s="1" t="s">
        <v>244</v>
      </c>
      <c r="C198" s="6">
        <v>45898.0</v>
      </c>
      <c r="D198" s="6">
        <v>45898.0</v>
      </c>
      <c r="E198" s="1" t="s">
        <v>239</v>
      </c>
      <c r="H198" s="7">
        <v>0.67</v>
      </c>
      <c r="I198" s="7">
        <v>1.963</v>
      </c>
      <c r="J198" s="7">
        <v>0.114</v>
      </c>
      <c r="K198" s="7">
        <v>431.56999999999994</v>
      </c>
      <c r="L198" s="7">
        <v>17.5165</v>
      </c>
      <c r="M198" s="8">
        <f t="shared" si="9"/>
        <v>552.355</v>
      </c>
      <c r="N198" s="7">
        <v>553.025</v>
      </c>
      <c r="O198" s="10">
        <f t="shared" si="10"/>
        <v>31.57166101</v>
      </c>
      <c r="R198" s="1" t="s">
        <v>228</v>
      </c>
      <c r="S198" s="1" t="s">
        <v>218</v>
      </c>
      <c r="U198" s="1">
        <f t="shared" si="11"/>
        <v>0.006508149459</v>
      </c>
      <c r="V198" s="1">
        <f t="shared" si="12"/>
        <v>0.00476108675</v>
      </c>
    </row>
    <row r="199" ht="14.25" customHeight="1">
      <c r="A199" s="1" t="s">
        <v>144</v>
      </c>
      <c r="B199" s="1" t="s">
        <v>245</v>
      </c>
      <c r="C199" s="6">
        <v>45912.0</v>
      </c>
      <c r="D199" s="6">
        <v>45912.0</v>
      </c>
      <c r="E199" s="1" t="s">
        <v>114</v>
      </c>
      <c r="H199" s="7">
        <v>0.0</v>
      </c>
      <c r="I199" s="7">
        <v>7.713</v>
      </c>
      <c r="J199" s="7">
        <v>0.112</v>
      </c>
      <c r="K199" s="7">
        <v>409.58</v>
      </c>
      <c r="L199" s="7">
        <v>8.975000000000001</v>
      </c>
      <c r="M199" s="8">
        <f t="shared" si="9"/>
        <v>222.1725</v>
      </c>
      <c r="N199" s="7">
        <v>222.1725</v>
      </c>
      <c r="O199" s="10">
        <f t="shared" si="10"/>
        <v>24.7545961</v>
      </c>
      <c r="R199" s="1" t="s">
        <v>228</v>
      </c>
      <c r="S199" s="1" t="s">
        <v>218</v>
      </c>
      <c r="U199" s="1">
        <f t="shared" si="11"/>
        <v>0.01247910864</v>
      </c>
      <c r="V199" s="1">
        <f t="shared" si="12"/>
        <v>0.03471626776</v>
      </c>
    </row>
    <row r="200" ht="14.25" customHeight="1">
      <c r="A200" s="1" t="s">
        <v>144</v>
      </c>
      <c r="B200" s="1" t="s">
        <v>246</v>
      </c>
      <c r="C200" s="6">
        <v>45912.0</v>
      </c>
      <c r="D200" s="6">
        <v>45912.0</v>
      </c>
      <c r="E200" s="1" t="s">
        <v>117</v>
      </c>
      <c r="H200" s="7">
        <v>0.263</v>
      </c>
      <c r="I200" s="7">
        <v>2.316</v>
      </c>
      <c r="J200" s="7">
        <v>0.159</v>
      </c>
      <c r="K200" s="7">
        <v>417.84</v>
      </c>
      <c r="L200" s="7">
        <v>10.7315</v>
      </c>
      <c r="M200" s="8">
        <f t="shared" si="9"/>
        <v>227.5085</v>
      </c>
      <c r="N200" s="7">
        <v>227.7715</v>
      </c>
      <c r="O200" s="10">
        <f t="shared" si="10"/>
        <v>21.22457252</v>
      </c>
      <c r="R200" s="1" t="s">
        <v>228</v>
      </c>
      <c r="S200" s="1" t="s">
        <v>218</v>
      </c>
      <c r="U200" s="1">
        <f t="shared" si="11"/>
        <v>0.01481619531</v>
      </c>
      <c r="V200" s="1">
        <f t="shared" si="12"/>
        <v>0.01132275109</v>
      </c>
    </row>
    <row r="201" ht="14.25" customHeight="1">
      <c r="A201" s="1" t="s">
        <v>144</v>
      </c>
      <c r="B201" s="1" t="s">
        <v>247</v>
      </c>
      <c r="C201" s="6">
        <v>45912.0</v>
      </c>
      <c r="D201" s="6">
        <v>45912.0</v>
      </c>
      <c r="E201" s="1" t="s">
        <v>119</v>
      </c>
      <c r="H201" s="7">
        <v>0.04</v>
      </c>
      <c r="I201" s="7">
        <v>1.506</v>
      </c>
      <c r="J201" s="7">
        <v>0.139</v>
      </c>
      <c r="K201" s="7">
        <v>454.48</v>
      </c>
      <c r="L201" s="7">
        <v>11.282</v>
      </c>
      <c r="M201" s="8">
        <f t="shared" si="9"/>
        <v>284.9825</v>
      </c>
      <c r="N201" s="7">
        <v>285.02250000000004</v>
      </c>
      <c r="O201" s="10">
        <f t="shared" si="10"/>
        <v>25.26347279</v>
      </c>
      <c r="R201" s="1" t="s">
        <v>228</v>
      </c>
      <c r="S201" s="1" t="s">
        <v>218</v>
      </c>
      <c r="U201" s="1">
        <f t="shared" si="11"/>
        <v>0.01232051055</v>
      </c>
      <c r="V201" s="1">
        <f t="shared" si="12"/>
        <v>0.005424133182</v>
      </c>
    </row>
    <row r="202" ht="14.25" customHeight="1">
      <c r="A202" s="1" t="s">
        <v>144</v>
      </c>
      <c r="B202" s="1" t="s">
        <v>248</v>
      </c>
      <c r="C202" s="6">
        <v>45912.0</v>
      </c>
      <c r="D202" s="6">
        <v>45912.0</v>
      </c>
      <c r="E202" s="1" t="s">
        <v>121</v>
      </c>
      <c r="H202" s="7">
        <v>0.0</v>
      </c>
      <c r="I202" s="7">
        <v>14.434</v>
      </c>
      <c r="J202" s="7">
        <v>0.16</v>
      </c>
      <c r="K202" s="7">
        <v>444.41</v>
      </c>
      <c r="L202" s="7">
        <v>11.7635</v>
      </c>
      <c r="M202" s="8">
        <f t="shared" si="9"/>
        <v>289.125</v>
      </c>
      <c r="N202" s="7">
        <v>289.125</v>
      </c>
      <c r="O202" s="10">
        <f t="shared" si="10"/>
        <v>24.57814426</v>
      </c>
      <c r="R202" s="1" t="s">
        <v>228</v>
      </c>
      <c r="S202" s="1" t="s">
        <v>218</v>
      </c>
      <c r="U202" s="1">
        <f t="shared" si="11"/>
        <v>0.01360139414</v>
      </c>
      <c r="V202" s="1">
        <f t="shared" si="12"/>
        <v>0.04992304367</v>
      </c>
    </row>
    <row r="203" ht="14.25" customHeight="1">
      <c r="A203" s="1" t="s">
        <v>144</v>
      </c>
      <c r="B203" s="1" t="s">
        <v>249</v>
      </c>
      <c r="C203" s="6">
        <v>45926.0</v>
      </c>
      <c r="D203" s="6">
        <v>45926.0</v>
      </c>
      <c r="E203" s="1" t="s">
        <v>114</v>
      </c>
      <c r="H203" s="7">
        <v>0.112</v>
      </c>
      <c r="I203" s="7">
        <v>1.42</v>
      </c>
      <c r="J203" s="7">
        <v>0.41</v>
      </c>
      <c r="K203" s="7">
        <v>459.78999999999996</v>
      </c>
      <c r="L203" s="7">
        <v>7.319</v>
      </c>
      <c r="M203" s="8">
        <f t="shared" si="9"/>
        <v>183.174</v>
      </c>
      <c r="N203" s="7">
        <v>183.286</v>
      </c>
      <c r="O203" s="10">
        <f t="shared" si="10"/>
        <v>25.04249214</v>
      </c>
      <c r="R203" s="1" t="s">
        <v>228</v>
      </c>
      <c r="S203" s="1" t="s">
        <v>218</v>
      </c>
      <c r="U203" s="1">
        <f t="shared" si="11"/>
        <v>0.05601858177</v>
      </c>
      <c r="V203" s="1">
        <f t="shared" si="12"/>
        <v>0.008358521655</v>
      </c>
    </row>
    <row r="204" ht="14.25" customHeight="1">
      <c r="A204" s="1" t="s">
        <v>144</v>
      </c>
      <c r="B204" s="1" t="s">
        <v>250</v>
      </c>
      <c r="C204" s="6">
        <v>45926.0</v>
      </c>
      <c r="D204" s="6">
        <v>45926.0</v>
      </c>
      <c r="E204" s="1" t="s">
        <v>117</v>
      </c>
      <c r="H204" s="7">
        <v>0.363</v>
      </c>
      <c r="I204" s="7">
        <v>9.514</v>
      </c>
      <c r="J204" s="7">
        <v>1.703</v>
      </c>
      <c r="K204" s="7">
        <v>523.98</v>
      </c>
      <c r="L204" s="7">
        <v>13.9445</v>
      </c>
      <c r="M204" s="8">
        <f t="shared" si="9"/>
        <v>299.188</v>
      </c>
      <c r="N204" s="7">
        <v>299.55100000000004</v>
      </c>
      <c r="O204" s="10">
        <f t="shared" si="10"/>
        <v>21.48165944</v>
      </c>
      <c r="R204" s="1" t="s">
        <v>228</v>
      </c>
      <c r="S204" s="1" t="s">
        <v>218</v>
      </c>
      <c r="U204" s="1">
        <f t="shared" si="11"/>
        <v>0.1221270035</v>
      </c>
      <c r="V204" s="1">
        <f t="shared" si="12"/>
        <v>0.03297268245</v>
      </c>
    </row>
    <row r="205" ht="14.25" customHeight="1">
      <c r="A205" s="1" t="s">
        <v>144</v>
      </c>
      <c r="B205" s="1" t="s">
        <v>251</v>
      </c>
      <c r="C205" s="6">
        <v>45926.0</v>
      </c>
      <c r="D205" s="6">
        <v>45926.0</v>
      </c>
      <c r="E205" s="1" t="s">
        <v>119</v>
      </c>
      <c r="H205" s="7">
        <v>0.067</v>
      </c>
      <c r="I205" s="7">
        <v>1.012</v>
      </c>
      <c r="J205" s="7">
        <v>0.803</v>
      </c>
      <c r="K205" s="7">
        <v>445.58</v>
      </c>
      <c r="L205" s="7">
        <v>10.812000000000001</v>
      </c>
      <c r="M205" s="8">
        <f t="shared" si="9"/>
        <v>233.5725</v>
      </c>
      <c r="N205" s="7">
        <v>233.6395</v>
      </c>
      <c r="O205" s="10">
        <f t="shared" si="10"/>
        <v>21.60927673</v>
      </c>
      <c r="R205" s="1" t="s">
        <v>228</v>
      </c>
      <c r="S205" s="1" t="s">
        <v>218</v>
      </c>
      <c r="U205" s="1">
        <f t="shared" si="11"/>
        <v>0.07426933037</v>
      </c>
      <c r="V205" s="1">
        <f t="shared" si="12"/>
        <v>0.004618225942</v>
      </c>
    </row>
    <row r="206" ht="14.25" customHeight="1">
      <c r="A206" s="1" t="s">
        <v>144</v>
      </c>
      <c r="B206" s="1" t="s">
        <v>252</v>
      </c>
      <c r="C206" s="6">
        <v>45926.0</v>
      </c>
      <c r="D206" s="6">
        <v>45926.0</v>
      </c>
      <c r="E206" s="1" t="s">
        <v>121</v>
      </c>
      <c r="H206" s="7">
        <v>0.033</v>
      </c>
      <c r="I206" s="7">
        <v>1.138</v>
      </c>
      <c r="J206" s="7">
        <v>0.736</v>
      </c>
      <c r="K206" s="7">
        <v>420.73</v>
      </c>
      <c r="L206" s="7">
        <v>9.533999999999999</v>
      </c>
      <c r="M206" s="8">
        <f t="shared" si="9"/>
        <v>214.372</v>
      </c>
      <c r="N206" s="7">
        <v>214.405</v>
      </c>
      <c r="O206" s="10">
        <f t="shared" si="10"/>
        <v>22.48846235</v>
      </c>
      <c r="R206" s="1" t="s">
        <v>228</v>
      </c>
      <c r="S206" s="1" t="s">
        <v>218</v>
      </c>
      <c r="U206" s="1">
        <f t="shared" si="11"/>
        <v>0.07719739878</v>
      </c>
      <c r="V206" s="1">
        <f t="shared" si="12"/>
        <v>0.005461626361</v>
      </c>
    </row>
    <row r="207" ht="14.25" customHeight="1">
      <c r="A207" s="1" t="s">
        <v>144</v>
      </c>
      <c r="B207" s="1" t="s">
        <v>253</v>
      </c>
      <c r="C207" s="6">
        <v>45926.0</v>
      </c>
      <c r="D207" s="6">
        <v>45926.0</v>
      </c>
      <c r="E207" s="1" t="s">
        <v>239</v>
      </c>
      <c r="H207" s="7">
        <v>0.193</v>
      </c>
      <c r="I207" s="7">
        <v>1.259</v>
      </c>
      <c r="J207" s="7">
        <v>0.52</v>
      </c>
      <c r="K207" s="7">
        <v>421.78</v>
      </c>
      <c r="L207" s="7">
        <v>8.372</v>
      </c>
      <c r="M207" s="8">
        <f t="shared" si="9"/>
        <v>195.017</v>
      </c>
      <c r="N207" s="7">
        <v>195.21</v>
      </c>
      <c r="O207" s="10">
        <f t="shared" si="10"/>
        <v>23.31700908</v>
      </c>
      <c r="R207" s="1" t="s">
        <v>228</v>
      </c>
      <c r="S207" s="1" t="s">
        <v>218</v>
      </c>
      <c r="U207" s="1">
        <f t="shared" si="11"/>
        <v>0.06211180124</v>
      </c>
      <c r="V207" s="1">
        <f t="shared" si="12"/>
        <v>0.007438143538</v>
      </c>
    </row>
    <row r="208" ht="14.25" customHeight="1">
      <c r="A208" s="1" t="s">
        <v>144</v>
      </c>
      <c r="B208" s="1" t="s">
        <v>254</v>
      </c>
      <c r="C208" s="6">
        <v>45943.0</v>
      </c>
      <c r="D208" s="6">
        <v>45943.0</v>
      </c>
      <c r="E208" s="1" t="s">
        <v>114</v>
      </c>
      <c r="H208" s="7">
        <v>0.106</v>
      </c>
      <c r="I208" s="7">
        <v>2.257</v>
      </c>
      <c r="J208" s="7">
        <v>0.077</v>
      </c>
      <c r="K208" s="7">
        <v>437.37</v>
      </c>
      <c r="L208" s="7">
        <v>8.1695</v>
      </c>
      <c r="M208" s="8">
        <f t="shared" si="9"/>
        <v>200.7375</v>
      </c>
      <c r="N208" s="7">
        <v>200.8435</v>
      </c>
      <c r="O208" s="10">
        <f t="shared" si="10"/>
        <v>24.5845523</v>
      </c>
      <c r="R208" s="1" t="s">
        <v>228</v>
      </c>
      <c r="S208" s="1" t="s">
        <v>218</v>
      </c>
      <c r="U208" s="1">
        <f t="shared" si="11"/>
        <v>0.009425301426</v>
      </c>
      <c r="V208" s="1">
        <f t="shared" si="12"/>
        <v>0.01176537951</v>
      </c>
    </row>
    <row r="209" ht="14.25" customHeight="1">
      <c r="A209" s="1" t="s">
        <v>144</v>
      </c>
      <c r="B209" s="1" t="s">
        <v>255</v>
      </c>
      <c r="C209" s="6">
        <v>45943.0</v>
      </c>
      <c r="D209" s="6">
        <v>45943.0</v>
      </c>
      <c r="E209" s="1" t="s">
        <v>117</v>
      </c>
      <c r="H209" s="7">
        <v>0.0</v>
      </c>
      <c r="I209" s="7">
        <v>1.145</v>
      </c>
      <c r="J209" s="7">
        <v>0.368</v>
      </c>
      <c r="K209" s="7">
        <v>408.09</v>
      </c>
      <c r="L209" s="7">
        <v>8.3925</v>
      </c>
      <c r="M209" s="8">
        <f t="shared" si="9"/>
        <v>201.2945</v>
      </c>
      <c r="N209" s="7">
        <v>201.2945</v>
      </c>
      <c r="O209" s="10">
        <f t="shared" si="10"/>
        <v>23.98504617</v>
      </c>
      <c r="R209" s="1" t="s">
        <v>228</v>
      </c>
      <c r="S209" s="1" t="s">
        <v>218</v>
      </c>
      <c r="U209" s="1">
        <f t="shared" si="11"/>
        <v>0.04384867441</v>
      </c>
      <c r="V209" s="1">
        <f t="shared" si="12"/>
        <v>0.005688183234</v>
      </c>
    </row>
    <row r="210" ht="14.25" customHeight="1">
      <c r="A210" s="1" t="s">
        <v>144</v>
      </c>
      <c r="B210" s="1" t="s">
        <v>256</v>
      </c>
      <c r="C210" s="6">
        <v>45943.0</v>
      </c>
      <c r="D210" s="6">
        <v>45943.0</v>
      </c>
      <c r="E210" s="1" t="s">
        <v>119</v>
      </c>
      <c r="H210" s="7">
        <v>0.0</v>
      </c>
      <c r="I210" s="7">
        <v>0.959</v>
      </c>
      <c r="J210" s="7">
        <v>0.121</v>
      </c>
      <c r="K210" s="7">
        <v>442.28000000000003</v>
      </c>
      <c r="L210" s="7">
        <v>8.629999999999999</v>
      </c>
      <c r="M210" s="8">
        <f t="shared" si="9"/>
        <v>212.5345</v>
      </c>
      <c r="N210" s="7">
        <v>212.5345</v>
      </c>
      <c r="O210" s="10">
        <f t="shared" si="10"/>
        <v>24.6274044</v>
      </c>
      <c r="R210" s="1" t="s">
        <v>228</v>
      </c>
      <c r="S210" s="1" t="s">
        <v>218</v>
      </c>
      <c r="U210" s="1">
        <f t="shared" si="11"/>
        <v>0.01402085747</v>
      </c>
      <c r="V210" s="1">
        <f t="shared" si="12"/>
        <v>0.004512208606</v>
      </c>
    </row>
    <row r="211" ht="14.25" customHeight="1">
      <c r="A211" s="1" t="s">
        <v>144</v>
      </c>
      <c r="B211" s="1" t="s">
        <v>257</v>
      </c>
      <c r="C211" s="6">
        <v>45943.0</v>
      </c>
      <c r="D211" s="6">
        <v>45943.0</v>
      </c>
      <c r="E211" s="1" t="s">
        <v>121</v>
      </c>
      <c r="H211" s="7">
        <v>0.044</v>
      </c>
      <c r="I211" s="7">
        <v>3.698</v>
      </c>
      <c r="J211" s="7">
        <v>0.06</v>
      </c>
      <c r="K211" s="7">
        <v>452.43</v>
      </c>
      <c r="L211" s="7">
        <v>8.106</v>
      </c>
      <c r="M211" s="8">
        <f t="shared" si="9"/>
        <v>205.8955</v>
      </c>
      <c r="N211" s="7">
        <v>205.9395</v>
      </c>
      <c r="O211" s="10">
        <f t="shared" si="10"/>
        <v>25.40581051</v>
      </c>
      <c r="R211" s="1" t="s">
        <v>228</v>
      </c>
      <c r="S211" s="1" t="s">
        <v>218</v>
      </c>
      <c r="U211" s="1">
        <f t="shared" si="11"/>
        <v>0.0074019245</v>
      </c>
      <c r="V211" s="1">
        <f t="shared" si="12"/>
        <v>0.01817038499</v>
      </c>
    </row>
    <row r="212" ht="14.25" customHeight="1">
      <c r="A212" s="1" t="s">
        <v>144</v>
      </c>
      <c r="B212" s="1" t="s">
        <v>258</v>
      </c>
      <c r="C212" s="6">
        <v>45954.0</v>
      </c>
      <c r="D212" s="6">
        <v>45954.0</v>
      </c>
      <c r="E212" s="1" t="s">
        <v>114</v>
      </c>
      <c r="H212" s="7">
        <v>0.116</v>
      </c>
      <c r="I212" s="7">
        <v>1.196</v>
      </c>
      <c r="J212" s="7">
        <v>0.051</v>
      </c>
      <c r="K212" s="7">
        <v>424.76</v>
      </c>
      <c r="L212" s="7">
        <v>7.514</v>
      </c>
      <c r="M212" s="8">
        <f t="shared" si="9"/>
        <v>192.123</v>
      </c>
      <c r="N212" s="7">
        <v>192.239</v>
      </c>
      <c r="O212" s="10">
        <f t="shared" si="10"/>
        <v>25.58410966</v>
      </c>
      <c r="R212" s="1" t="s">
        <v>228</v>
      </c>
      <c r="S212" s="1" t="s">
        <v>218</v>
      </c>
      <c r="U212" s="1">
        <f t="shared" si="11"/>
        <v>0.006787330317</v>
      </c>
      <c r="V212" s="1">
        <f t="shared" si="12"/>
        <v>0.006824837832</v>
      </c>
    </row>
    <row r="213" ht="14.25" customHeight="1">
      <c r="A213" s="1" t="s">
        <v>144</v>
      </c>
      <c r="B213" s="1" t="s">
        <v>259</v>
      </c>
      <c r="C213" s="6">
        <v>45954.0</v>
      </c>
      <c r="D213" s="6">
        <v>45954.0</v>
      </c>
      <c r="E213" s="1" t="s">
        <v>117</v>
      </c>
      <c r="H213" s="7">
        <v>0.167</v>
      </c>
      <c r="I213" s="7">
        <v>1.548</v>
      </c>
      <c r="J213" s="7">
        <v>0.118</v>
      </c>
      <c r="K213" s="7">
        <v>400.4</v>
      </c>
      <c r="L213" s="7">
        <v>7.3265</v>
      </c>
      <c r="M213" s="8">
        <f t="shared" si="9"/>
        <v>183.9535</v>
      </c>
      <c r="N213" s="7">
        <v>184.1205</v>
      </c>
      <c r="O213" s="10">
        <f t="shared" si="10"/>
        <v>25.13075821</v>
      </c>
      <c r="R213" s="1" t="s">
        <v>228</v>
      </c>
      <c r="S213" s="1" t="s">
        <v>218</v>
      </c>
      <c r="U213" s="1">
        <f t="shared" si="11"/>
        <v>0.01610591688</v>
      </c>
      <c r="V213" s="1">
        <f t="shared" si="12"/>
        <v>0.009314552155</v>
      </c>
    </row>
    <row r="214" ht="14.25" customHeight="1">
      <c r="A214" s="1" t="s">
        <v>144</v>
      </c>
      <c r="B214" s="1" t="s">
        <v>260</v>
      </c>
      <c r="C214" s="6">
        <v>45954.0</v>
      </c>
      <c r="D214" s="6">
        <v>45954.0</v>
      </c>
      <c r="E214" s="1" t="s">
        <v>119</v>
      </c>
      <c r="H214" s="7">
        <v>0.415</v>
      </c>
      <c r="I214" s="7">
        <v>1.267</v>
      </c>
      <c r="J214" s="7">
        <v>0.264</v>
      </c>
      <c r="K214" s="7">
        <v>420.13</v>
      </c>
      <c r="L214" s="7">
        <v>7.7645</v>
      </c>
      <c r="M214" s="8">
        <f t="shared" si="9"/>
        <v>198.754</v>
      </c>
      <c r="N214" s="7">
        <v>199.16899999999998</v>
      </c>
      <c r="O214" s="10">
        <f t="shared" si="10"/>
        <v>25.65123318</v>
      </c>
      <c r="R214" s="1" t="s">
        <v>228</v>
      </c>
      <c r="S214" s="1" t="s">
        <v>218</v>
      </c>
      <c r="U214" s="1">
        <f t="shared" si="11"/>
        <v>0.03400090154</v>
      </c>
      <c r="V214" s="1">
        <f t="shared" si="12"/>
        <v>0.008445089346</v>
      </c>
    </row>
    <row r="215" ht="14.25" customHeight="1">
      <c r="A215" s="1" t="s">
        <v>144</v>
      </c>
      <c r="B215" s="1" t="s">
        <v>261</v>
      </c>
      <c r="C215" s="6">
        <v>45954.0</v>
      </c>
      <c r="D215" s="6">
        <v>45954.0</v>
      </c>
      <c r="E215" s="1" t="s">
        <v>121</v>
      </c>
      <c r="H215" s="21">
        <v>1.162</v>
      </c>
      <c r="I215" s="21">
        <v>1.121</v>
      </c>
      <c r="J215" s="21">
        <v>0.068</v>
      </c>
      <c r="K215" s="7">
        <v>426.61</v>
      </c>
      <c r="L215" s="7">
        <v>7.311999999999999</v>
      </c>
      <c r="M215" s="8">
        <f t="shared" si="9"/>
        <v>192.6585</v>
      </c>
      <c r="N215" s="7">
        <v>193.8205</v>
      </c>
      <c r="O215" s="10">
        <f t="shared" si="10"/>
        <v>26.50717998</v>
      </c>
      <c r="R215" s="1" t="s">
        <v>228</v>
      </c>
      <c r="S215" s="1" t="s">
        <v>218</v>
      </c>
      <c r="U215" s="1">
        <f t="shared" si="11"/>
        <v>0.009299781182</v>
      </c>
      <c r="V215" s="1">
        <f t="shared" si="12"/>
        <v>0.01177893979</v>
      </c>
    </row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E$1:$E$1000"/>
  <conditionalFormatting sqref="H2:K1000">
    <cfRule type="cellIs" dxfId="0" priority="1" operator="lessThan">
      <formula>0</formula>
    </cfRule>
  </conditionalFormatting>
  <conditionalFormatting sqref="U2:V215">
    <cfRule type="cellIs" dxfId="0" priority="2" operator="greaterThan">
      <formula>0.8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29"/>
    <col customWidth="1" min="3" max="26" width="8.71"/>
  </cols>
  <sheetData>
    <row r="1" ht="14.25" customHeight="1">
      <c r="A1" s="1" t="s">
        <v>0</v>
      </c>
      <c r="B1" s="1" t="s">
        <v>1</v>
      </c>
      <c r="D1" s="1" t="s">
        <v>262</v>
      </c>
      <c r="Q1" s="1" t="s">
        <v>2</v>
      </c>
      <c r="R1" s="1" t="s">
        <v>3</v>
      </c>
    </row>
    <row r="2" ht="14.25" customHeight="1">
      <c r="A2" s="1" t="s">
        <v>17</v>
      </c>
      <c r="B2" s="1" t="s">
        <v>18</v>
      </c>
      <c r="D2" s="11" t="s">
        <v>263</v>
      </c>
      <c r="F2" s="11" t="s">
        <v>264</v>
      </c>
      <c r="Q2" s="6">
        <v>45811.0</v>
      </c>
      <c r="R2" s="1" t="s">
        <v>19</v>
      </c>
    </row>
    <row r="3" ht="14.25" customHeight="1">
      <c r="A3" s="1" t="s">
        <v>17</v>
      </c>
      <c r="B3" s="1" t="s">
        <v>22</v>
      </c>
      <c r="D3" s="11" t="s">
        <v>265</v>
      </c>
      <c r="F3" s="11" t="s">
        <v>266</v>
      </c>
      <c r="Q3" s="6">
        <v>45811.0</v>
      </c>
      <c r="R3" s="1" t="s">
        <v>23</v>
      </c>
    </row>
    <row r="4" ht="14.25" customHeight="1">
      <c r="A4" s="1" t="s">
        <v>17</v>
      </c>
      <c r="B4" s="1" t="s">
        <v>24</v>
      </c>
      <c r="D4" s="11" t="s">
        <v>267</v>
      </c>
      <c r="F4" s="11" t="s">
        <v>268</v>
      </c>
      <c r="Q4" s="6">
        <v>45811.0</v>
      </c>
      <c r="R4" s="1" t="s">
        <v>25</v>
      </c>
    </row>
    <row r="5" ht="14.25" customHeight="1">
      <c r="A5" s="1" t="s">
        <v>17</v>
      </c>
      <c r="B5" s="1" t="s">
        <v>26</v>
      </c>
      <c r="D5" s="11" t="s">
        <v>269</v>
      </c>
      <c r="F5" s="11" t="s">
        <v>270</v>
      </c>
      <c r="Q5" s="6">
        <v>45811.0</v>
      </c>
      <c r="R5" s="1" t="s">
        <v>27</v>
      </c>
    </row>
    <row r="6" ht="14.25" customHeight="1">
      <c r="A6" s="1" t="s">
        <v>17</v>
      </c>
      <c r="B6" s="1" t="s">
        <v>28</v>
      </c>
      <c r="D6" s="11" t="s">
        <v>32</v>
      </c>
      <c r="F6" s="11" t="s">
        <v>271</v>
      </c>
      <c r="Q6" s="6">
        <v>45811.0</v>
      </c>
      <c r="R6" s="1" t="s">
        <v>29</v>
      </c>
    </row>
    <row r="7" ht="14.25" customHeight="1">
      <c r="A7" s="1" t="s">
        <v>17</v>
      </c>
      <c r="B7" s="1" t="s">
        <v>30</v>
      </c>
      <c r="D7" s="11" t="s">
        <v>34</v>
      </c>
      <c r="F7" s="11" t="s">
        <v>272</v>
      </c>
      <c r="Q7" s="6">
        <v>45811.0</v>
      </c>
      <c r="R7" s="1" t="s">
        <v>31</v>
      </c>
    </row>
    <row r="8" ht="14.25" customHeight="1">
      <c r="A8" s="1" t="s">
        <v>17</v>
      </c>
      <c r="B8" s="1" t="s">
        <v>32</v>
      </c>
      <c r="D8" s="11" t="s">
        <v>273</v>
      </c>
      <c r="F8" s="11" t="s">
        <v>274</v>
      </c>
      <c r="Q8" s="6">
        <v>45811.0</v>
      </c>
      <c r="R8" s="1" t="s">
        <v>33</v>
      </c>
    </row>
    <row r="9" ht="14.25" customHeight="1">
      <c r="A9" s="1" t="s">
        <v>17</v>
      </c>
      <c r="B9" s="1" t="s">
        <v>34</v>
      </c>
      <c r="D9" s="11" t="s">
        <v>275</v>
      </c>
      <c r="F9" s="11" t="s">
        <v>276</v>
      </c>
      <c r="Q9" s="6">
        <v>45811.0</v>
      </c>
      <c r="R9" s="1" t="s">
        <v>35</v>
      </c>
    </row>
    <row r="10" ht="14.25" customHeight="1">
      <c r="A10" s="1" t="s">
        <v>17</v>
      </c>
      <c r="B10" s="1" t="s">
        <v>36</v>
      </c>
      <c r="D10" s="11" t="s">
        <v>277</v>
      </c>
      <c r="F10" s="11" t="s">
        <v>278</v>
      </c>
      <c r="Q10" s="6">
        <v>45811.0</v>
      </c>
      <c r="R10" s="1" t="s">
        <v>37</v>
      </c>
    </row>
    <row r="11" ht="14.25" customHeight="1">
      <c r="A11" s="1" t="s">
        <v>17</v>
      </c>
      <c r="B11" s="1" t="s">
        <v>38</v>
      </c>
      <c r="D11" s="11" t="s">
        <v>279</v>
      </c>
      <c r="F11" s="11" t="s">
        <v>280</v>
      </c>
      <c r="Q11" s="6">
        <v>45811.0</v>
      </c>
      <c r="R11" s="1" t="s">
        <v>39</v>
      </c>
    </row>
    <row r="12" ht="14.25" customHeight="1">
      <c r="A12" s="1" t="s">
        <v>17</v>
      </c>
      <c r="B12" s="1" t="s">
        <v>40</v>
      </c>
      <c r="D12" s="11" t="s">
        <v>46</v>
      </c>
      <c r="F12" s="11" t="s">
        <v>281</v>
      </c>
      <c r="Q12" s="6">
        <v>45818.0</v>
      </c>
      <c r="R12" s="1" t="s">
        <v>19</v>
      </c>
    </row>
    <row r="13" ht="14.25" customHeight="1">
      <c r="A13" s="1" t="s">
        <v>17</v>
      </c>
      <c r="B13" s="1" t="s">
        <v>41</v>
      </c>
      <c r="D13" s="11" t="s">
        <v>47</v>
      </c>
      <c r="F13" s="11" t="s">
        <v>282</v>
      </c>
      <c r="Q13" s="6">
        <v>45818.0</v>
      </c>
      <c r="R13" s="1" t="s">
        <v>23</v>
      </c>
    </row>
    <row r="14" ht="14.25" customHeight="1">
      <c r="A14" s="1" t="s">
        <v>17</v>
      </c>
      <c r="B14" s="1" t="s">
        <v>42</v>
      </c>
      <c r="D14" s="11" t="s">
        <v>283</v>
      </c>
      <c r="F14" s="11" t="s">
        <v>284</v>
      </c>
      <c r="Q14" s="6">
        <v>45818.0</v>
      </c>
      <c r="R14" s="1" t="s">
        <v>25</v>
      </c>
    </row>
    <row r="15" ht="14.25" customHeight="1">
      <c r="A15" s="1" t="s">
        <v>17</v>
      </c>
      <c r="B15" s="1" t="s">
        <v>43</v>
      </c>
      <c r="D15" s="11" t="s">
        <v>285</v>
      </c>
      <c r="F15" s="11" t="s">
        <v>286</v>
      </c>
      <c r="Q15" s="6">
        <v>45818.0</v>
      </c>
      <c r="R15" s="1" t="s">
        <v>27</v>
      </c>
    </row>
    <row r="16" ht="14.25" customHeight="1">
      <c r="A16" s="1" t="s">
        <v>17</v>
      </c>
      <c r="B16" s="1" t="s">
        <v>44</v>
      </c>
      <c r="D16" s="11" t="s">
        <v>287</v>
      </c>
      <c r="F16" s="11" t="s">
        <v>288</v>
      </c>
      <c r="Q16" s="6">
        <v>45818.0</v>
      </c>
      <c r="R16" s="1" t="s">
        <v>29</v>
      </c>
    </row>
    <row r="17" ht="14.25" customHeight="1">
      <c r="A17" s="1" t="s">
        <v>17</v>
      </c>
      <c r="B17" s="1" t="s">
        <v>45</v>
      </c>
      <c r="D17" s="11" t="s">
        <v>289</v>
      </c>
      <c r="F17" s="11" t="s">
        <v>290</v>
      </c>
      <c r="Q17" s="6">
        <v>45818.0</v>
      </c>
      <c r="R17" s="1" t="s">
        <v>31</v>
      </c>
    </row>
    <row r="18" ht="14.25" customHeight="1">
      <c r="A18" s="1" t="s">
        <v>17</v>
      </c>
      <c r="B18" s="1" t="s">
        <v>46</v>
      </c>
      <c r="D18" s="11" t="s">
        <v>57</v>
      </c>
      <c r="F18" s="11" t="s">
        <v>291</v>
      </c>
      <c r="Q18" s="6">
        <v>45818.0</v>
      </c>
      <c r="R18" s="1" t="s">
        <v>33</v>
      </c>
    </row>
    <row r="19" ht="14.25" customHeight="1">
      <c r="A19" s="1" t="s">
        <v>17</v>
      </c>
      <c r="B19" s="1" t="s">
        <v>47</v>
      </c>
      <c r="D19" s="22" t="s">
        <v>58</v>
      </c>
      <c r="E19" s="23"/>
      <c r="F19" s="22" t="s">
        <v>292</v>
      </c>
      <c r="G19" s="23"/>
      <c r="Q19" s="6">
        <v>45818.0</v>
      </c>
      <c r="R19" s="1" t="s">
        <v>35</v>
      </c>
    </row>
    <row r="20" ht="14.25" customHeight="1">
      <c r="A20" s="1" t="s">
        <v>17</v>
      </c>
      <c r="B20" s="1" t="s">
        <v>48</v>
      </c>
      <c r="D20" s="11" t="s">
        <v>293</v>
      </c>
      <c r="F20" s="11" t="s">
        <v>294</v>
      </c>
      <c r="Q20" s="6">
        <v>45818.0</v>
      </c>
      <c r="R20" s="1" t="s">
        <v>37</v>
      </c>
    </row>
    <row r="21" ht="14.25" customHeight="1">
      <c r="A21" s="1" t="s">
        <v>17</v>
      </c>
      <c r="B21" s="24" t="s">
        <v>49</v>
      </c>
      <c r="D21" s="11" t="s">
        <v>295</v>
      </c>
      <c r="F21" s="11" t="s">
        <v>296</v>
      </c>
      <c r="Q21" s="6">
        <v>45818.0</v>
      </c>
      <c r="R21" s="1" t="s">
        <v>39</v>
      </c>
    </row>
    <row r="22" ht="14.25" customHeight="1">
      <c r="A22" s="1" t="s">
        <v>17</v>
      </c>
      <c r="B22" s="1" t="s">
        <v>51</v>
      </c>
      <c r="D22" s="11" t="s">
        <v>297</v>
      </c>
      <c r="F22" s="11" t="s">
        <v>298</v>
      </c>
      <c r="Q22" s="6">
        <v>45825.0</v>
      </c>
      <c r="R22" s="1" t="s">
        <v>19</v>
      </c>
    </row>
    <row r="23" ht="14.25" customHeight="1">
      <c r="A23" s="1" t="s">
        <v>17</v>
      </c>
      <c r="B23" s="1" t="s">
        <v>52</v>
      </c>
      <c r="D23" s="11" t="s">
        <v>299</v>
      </c>
      <c r="F23" s="11" t="s">
        <v>300</v>
      </c>
      <c r="Q23" s="6">
        <v>45825.0</v>
      </c>
      <c r="R23" s="1" t="s">
        <v>23</v>
      </c>
    </row>
    <row r="24" ht="14.25" customHeight="1">
      <c r="A24" s="1" t="s">
        <v>17</v>
      </c>
      <c r="B24" s="1" t="s">
        <v>53</v>
      </c>
      <c r="D24" s="11" t="s">
        <v>68</v>
      </c>
      <c r="F24" s="11" t="s">
        <v>301</v>
      </c>
      <c r="Q24" s="6">
        <v>45825.0</v>
      </c>
      <c r="R24" s="1" t="s">
        <v>25</v>
      </c>
    </row>
    <row r="25" ht="14.25" customHeight="1">
      <c r="A25" s="1" t="s">
        <v>17</v>
      </c>
      <c r="B25" s="1" t="s">
        <v>54</v>
      </c>
      <c r="D25" s="11" t="s">
        <v>69</v>
      </c>
      <c r="F25" s="11" t="s">
        <v>302</v>
      </c>
      <c r="Q25" s="6">
        <v>45825.0</v>
      </c>
      <c r="R25" s="1" t="s">
        <v>27</v>
      </c>
    </row>
    <row r="26" ht="14.25" customHeight="1">
      <c r="A26" s="1" t="s">
        <v>17</v>
      </c>
      <c r="B26" s="1" t="s">
        <v>55</v>
      </c>
      <c r="Q26" s="6">
        <v>45825.0</v>
      </c>
      <c r="R26" s="1" t="s">
        <v>29</v>
      </c>
    </row>
    <row r="27" ht="14.25" customHeight="1">
      <c r="A27" s="1" t="s">
        <v>17</v>
      </c>
      <c r="B27" s="1" t="s">
        <v>56</v>
      </c>
      <c r="Q27" s="6">
        <v>45825.0</v>
      </c>
      <c r="R27" s="1" t="s">
        <v>31</v>
      </c>
    </row>
    <row r="28" ht="14.25" customHeight="1">
      <c r="A28" s="1" t="s">
        <v>17</v>
      </c>
      <c r="B28" s="1" t="s">
        <v>57</v>
      </c>
      <c r="Q28" s="6">
        <v>45825.0</v>
      </c>
      <c r="R28" s="1" t="s">
        <v>33</v>
      </c>
    </row>
    <row r="29" ht="14.25" customHeight="1">
      <c r="A29" s="1" t="s">
        <v>17</v>
      </c>
      <c r="B29" s="1" t="s">
        <v>58</v>
      </c>
      <c r="Q29" s="6">
        <v>45825.0</v>
      </c>
      <c r="R29" s="1" t="s">
        <v>35</v>
      </c>
    </row>
    <row r="30" ht="14.25" customHeight="1">
      <c r="A30" s="1" t="s">
        <v>17</v>
      </c>
      <c r="B30" s="1" t="s">
        <v>59</v>
      </c>
      <c r="Q30" s="6">
        <v>45825.0</v>
      </c>
      <c r="R30" s="1" t="s">
        <v>37</v>
      </c>
    </row>
    <row r="31" ht="14.25" customHeight="1">
      <c r="A31" s="23" t="s">
        <v>17</v>
      </c>
      <c r="B31" s="23" t="s">
        <v>60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5">
        <v>45825.0</v>
      </c>
      <c r="R31" s="23" t="s">
        <v>39</v>
      </c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1" t="s">
        <v>17</v>
      </c>
      <c r="B32" s="1" t="s">
        <v>61</v>
      </c>
      <c r="Q32" s="6">
        <v>45832.0</v>
      </c>
      <c r="R32" s="1" t="s">
        <v>19</v>
      </c>
    </row>
    <row r="33" ht="14.25" customHeight="1">
      <c r="A33" s="1" t="s">
        <v>17</v>
      </c>
      <c r="B33" s="1" t="s">
        <v>63</v>
      </c>
      <c r="Q33" s="6">
        <v>45832.0</v>
      </c>
      <c r="R33" s="1" t="s">
        <v>23</v>
      </c>
    </row>
    <row r="34" ht="14.25" customHeight="1">
      <c r="A34" s="1" t="s">
        <v>17</v>
      </c>
      <c r="B34" s="1" t="s">
        <v>64</v>
      </c>
      <c r="Q34" s="6">
        <v>45832.0</v>
      </c>
      <c r="R34" s="1" t="s">
        <v>25</v>
      </c>
    </row>
    <row r="35" ht="14.25" customHeight="1">
      <c r="A35" s="1" t="s">
        <v>17</v>
      </c>
      <c r="B35" s="1" t="s">
        <v>65</v>
      </c>
      <c r="Q35" s="6">
        <v>45832.0</v>
      </c>
      <c r="R35" s="1" t="s">
        <v>27</v>
      </c>
    </row>
    <row r="36" ht="14.25" customHeight="1">
      <c r="A36" s="1" t="s">
        <v>17</v>
      </c>
      <c r="B36" s="1" t="s">
        <v>66</v>
      </c>
      <c r="Q36" s="6">
        <v>45832.0</v>
      </c>
      <c r="R36" s="1" t="s">
        <v>29</v>
      </c>
    </row>
    <row r="37" ht="14.25" customHeight="1">
      <c r="A37" s="1" t="s">
        <v>17</v>
      </c>
      <c r="B37" s="1" t="s">
        <v>67</v>
      </c>
      <c r="Q37" s="6">
        <v>45832.0</v>
      </c>
      <c r="R37" s="1" t="s">
        <v>31</v>
      </c>
    </row>
    <row r="38" ht="14.25" customHeight="1">
      <c r="A38" s="1" t="s">
        <v>17</v>
      </c>
      <c r="B38" s="1" t="s">
        <v>68</v>
      </c>
      <c r="Q38" s="6">
        <v>45832.0</v>
      </c>
      <c r="R38" s="1" t="s">
        <v>33</v>
      </c>
    </row>
    <row r="39" ht="14.25" customHeight="1">
      <c r="A39" s="1" t="s">
        <v>17</v>
      </c>
      <c r="B39" s="1" t="s">
        <v>69</v>
      </c>
      <c r="Q39" s="6">
        <v>45832.0</v>
      </c>
      <c r="R39" s="1" t="s">
        <v>35</v>
      </c>
    </row>
    <row r="40" ht="14.25" customHeight="1">
      <c r="A40" s="1" t="s">
        <v>17</v>
      </c>
      <c r="B40" s="1" t="s">
        <v>70</v>
      </c>
      <c r="Q40" s="6">
        <v>45832.0</v>
      </c>
      <c r="R40" s="1" t="s">
        <v>37</v>
      </c>
    </row>
    <row r="41" ht="14.25" customHeight="1">
      <c r="A41" s="1" t="s">
        <v>17</v>
      </c>
      <c r="B41" s="1" t="s">
        <v>71</v>
      </c>
      <c r="Q41" s="6">
        <v>45832.0</v>
      </c>
      <c r="R41" s="1" t="s">
        <v>39</v>
      </c>
    </row>
    <row r="42" ht="14.25" customHeight="1">
      <c r="A42" s="1" t="s">
        <v>17</v>
      </c>
      <c r="B42" s="1" t="s">
        <v>72</v>
      </c>
      <c r="Q42" s="6">
        <v>45839.0</v>
      </c>
      <c r="R42" s="1" t="s">
        <v>19</v>
      </c>
    </row>
    <row r="43" ht="14.25" customHeight="1">
      <c r="A43" s="1" t="s">
        <v>17</v>
      </c>
      <c r="B43" s="1" t="s">
        <v>73</v>
      </c>
      <c r="Q43" s="6">
        <v>45839.0</v>
      </c>
      <c r="R43" s="1" t="s">
        <v>23</v>
      </c>
    </row>
    <row r="44" ht="14.25" customHeight="1">
      <c r="A44" s="1" t="s">
        <v>17</v>
      </c>
      <c r="B44" s="1" t="s">
        <v>74</v>
      </c>
      <c r="Q44" s="6">
        <v>45839.0</v>
      </c>
      <c r="R44" s="1" t="s">
        <v>25</v>
      </c>
    </row>
    <row r="45" ht="14.25" customHeight="1">
      <c r="A45" s="1" t="s">
        <v>17</v>
      </c>
      <c r="B45" s="1" t="s">
        <v>75</v>
      </c>
      <c r="Q45" s="6">
        <v>45839.0</v>
      </c>
      <c r="R45" s="1" t="s">
        <v>27</v>
      </c>
    </row>
    <row r="46" ht="14.25" customHeight="1">
      <c r="A46" s="1" t="s">
        <v>17</v>
      </c>
      <c r="B46" s="1" t="s">
        <v>76</v>
      </c>
      <c r="Q46" s="6">
        <v>45839.0</v>
      </c>
      <c r="R46" s="1" t="s">
        <v>29</v>
      </c>
    </row>
    <row r="47" ht="14.25" customHeight="1">
      <c r="A47" s="1" t="s">
        <v>17</v>
      </c>
      <c r="B47" s="1" t="s">
        <v>77</v>
      </c>
      <c r="Q47" s="6">
        <v>45839.0</v>
      </c>
      <c r="R47" s="1" t="s">
        <v>31</v>
      </c>
    </row>
    <row r="48" ht="14.25" customHeight="1">
      <c r="A48" s="1" t="s">
        <v>17</v>
      </c>
      <c r="B48" s="1" t="s">
        <v>78</v>
      </c>
      <c r="Q48" s="6">
        <v>45839.0</v>
      </c>
      <c r="R48" s="1" t="s">
        <v>33</v>
      </c>
    </row>
    <row r="49" ht="14.25" customHeight="1">
      <c r="A49" s="1" t="s">
        <v>17</v>
      </c>
      <c r="B49" s="1" t="s">
        <v>79</v>
      </c>
      <c r="Q49" s="6">
        <v>45839.0</v>
      </c>
      <c r="R49" s="1" t="s">
        <v>35</v>
      </c>
    </row>
    <row r="50" ht="14.25" customHeight="1">
      <c r="A50" s="1" t="s">
        <v>17</v>
      </c>
      <c r="B50" s="1" t="s">
        <v>80</v>
      </c>
      <c r="Q50" s="6">
        <v>45839.0</v>
      </c>
      <c r="R50" s="1" t="s">
        <v>37</v>
      </c>
    </row>
    <row r="51" ht="14.25" customHeight="1">
      <c r="A51" s="1" t="s">
        <v>17</v>
      </c>
      <c r="B51" s="1" t="s">
        <v>81</v>
      </c>
      <c r="Q51" s="6">
        <v>45839.0</v>
      </c>
      <c r="R51" s="1" t="s">
        <v>39</v>
      </c>
    </row>
    <row r="52" ht="14.25" customHeight="1">
      <c r="A52" s="1" t="s">
        <v>17</v>
      </c>
      <c r="B52" s="1" t="s">
        <v>82</v>
      </c>
      <c r="Q52" s="6">
        <v>45846.0</v>
      </c>
      <c r="R52" s="1" t="s">
        <v>19</v>
      </c>
    </row>
    <row r="53" ht="14.25" customHeight="1">
      <c r="A53" s="1" t="s">
        <v>17</v>
      </c>
      <c r="B53" s="1" t="s">
        <v>83</v>
      </c>
      <c r="Q53" s="6">
        <v>45846.0</v>
      </c>
      <c r="R53" s="1" t="s">
        <v>23</v>
      </c>
    </row>
    <row r="54" ht="14.25" customHeight="1">
      <c r="A54" s="1" t="s">
        <v>17</v>
      </c>
      <c r="B54" s="1" t="s">
        <v>84</v>
      </c>
      <c r="Q54" s="6">
        <v>45846.0</v>
      </c>
      <c r="R54" s="1" t="s">
        <v>25</v>
      </c>
    </row>
    <row r="55" ht="14.25" customHeight="1">
      <c r="A55" s="1" t="s">
        <v>17</v>
      </c>
      <c r="B55" s="1" t="s">
        <v>85</v>
      </c>
      <c r="Q55" s="6">
        <v>45846.0</v>
      </c>
      <c r="R55" s="1" t="s">
        <v>27</v>
      </c>
    </row>
    <row r="56" ht="14.25" customHeight="1">
      <c r="A56" s="1" t="s">
        <v>17</v>
      </c>
      <c r="B56" s="1" t="s">
        <v>86</v>
      </c>
      <c r="Q56" s="6">
        <v>45846.0</v>
      </c>
      <c r="R56" s="1" t="s">
        <v>29</v>
      </c>
    </row>
    <row r="57" ht="14.25" customHeight="1">
      <c r="A57" s="1" t="s">
        <v>17</v>
      </c>
      <c r="B57" s="1" t="s">
        <v>87</v>
      </c>
      <c r="Q57" s="6">
        <v>45846.0</v>
      </c>
      <c r="R57" s="1" t="s">
        <v>31</v>
      </c>
    </row>
    <row r="58" ht="14.25" customHeight="1">
      <c r="A58" s="1" t="s">
        <v>17</v>
      </c>
      <c r="B58" s="1" t="s">
        <v>88</v>
      </c>
      <c r="Q58" s="6">
        <v>45846.0</v>
      </c>
      <c r="R58" s="1" t="s">
        <v>33</v>
      </c>
    </row>
    <row r="59" ht="14.25" customHeight="1">
      <c r="A59" s="1" t="s">
        <v>17</v>
      </c>
      <c r="B59" s="1" t="s">
        <v>89</v>
      </c>
      <c r="Q59" s="6">
        <v>45846.0</v>
      </c>
      <c r="R59" s="1" t="s">
        <v>35</v>
      </c>
    </row>
    <row r="60" ht="14.25" customHeight="1">
      <c r="A60" s="1" t="s">
        <v>17</v>
      </c>
      <c r="B60" s="1" t="s">
        <v>90</v>
      </c>
      <c r="Q60" s="6">
        <v>45846.0</v>
      </c>
      <c r="R60" s="1" t="s">
        <v>37</v>
      </c>
    </row>
    <row r="61" ht="14.25" customHeight="1">
      <c r="A61" s="1" t="s">
        <v>17</v>
      </c>
      <c r="B61" s="1" t="s">
        <v>91</v>
      </c>
      <c r="Q61" s="6">
        <v>45846.0</v>
      </c>
      <c r="R61" s="1" t="s">
        <v>39</v>
      </c>
    </row>
    <row r="62" ht="14.25" customHeight="1">
      <c r="A62" s="1" t="s">
        <v>17</v>
      </c>
      <c r="B62" s="1" t="s">
        <v>92</v>
      </c>
      <c r="Q62" s="6">
        <v>45853.0</v>
      </c>
      <c r="R62" s="1" t="s">
        <v>19</v>
      </c>
    </row>
    <row r="63" ht="14.25" customHeight="1">
      <c r="A63" s="1" t="s">
        <v>17</v>
      </c>
      <c r="B63" s="1" t="s">
        <v>93</v>
      </c>
      <c r="Q63" s="6">
        <v>45853.0</v>
      </c>
      <c r="R63" s="1" t="s">
        <v>23</v>
      </c>
    </row>
    <row r="64" ht="14.25" customHeight="1">
      <c r="A64" s="1" t="s">
        <v>17</v>
      </c>
      <c r="B64" s="1" t="s">
        <v>94</v>
      </c>
      <c r="Q64" s="6">
        <v>45853.0</v>
      </c>
      <c r="R64" s="1" t="s">
        <v>25</v>
      </c>
    </row>
    <row r="65" ht="14.25" customHeight="1">
      <c r="A65" s="1" t="s">
        <v>17</v>
      </c>
      <c r="B65" s="1" t="s">
        <v>95</v>
      </c>
      <c r="Q65" s="6">
        <v>45853.0</v>
      </c>
      <c r="R65" s="1" t="s">
        <v>27</v>
      </c>
    </row>
    <row r="66" ht="14.25" customHeight="1">
      <c r="A66" s="1" t="s">
        <v>17</v>
      </c>
      <c r="B66" s="1" t="s">
        <v>96</v>
      </c>
      <c r="Q66" s="6">
        <v>45853.0</v>
      </c>
      <c r="R66" s="1" t="s">
        <v>29</v>
      </c>
    </row>
    <row r="67" ht="14.25" customHeight="1">
      <c r="A67" s="1" t="s">
        <v>17</v>
      </c>
      <c r="B67" s="1" t="s">
        <v>97</v>
      </c>
      <c r="Q67" s="6">
        <v>45853.0</v>
      </c>
      <c r="R67" s="1" t="s">
        <v>31</v>
      </c>
    </row>
    <row r="68" ht="14.25" customHeight="1">
      <c r="A68" s="1" t="s">
        <v>17</v>
      </c>
      <c r="B68" s="1" t="s">
        <v>98</v>
      </c>
      <c r="Q68" s="6">
        <v>45853.0</v>
      </c>
      <c r="R68" s="1" t="s">
        <v>33</v>
      </c>
    </row>
    <row r="69" ht="14.25" customHeight="1">
      <c r="A69" s="1" t="s">
        <v>17</v>
      </c>
      <c r="B69" s="1" t="s">
        <v>99</v>
      </c>
      <c r="Q69" s="6">
        <v>45853.0</v>
      </c>
      <c r="R69" s="1" t="s">
        <v>35</v>
      </c>
    </row>
    <row r="70" ht="14.25" customHeight="1">
      <c r="A70" s="1" t="s">
        <v>17</v>
      </c>
      <c r="B70" s="1" t="s">
        <v>100</v>
      </c>
      <c r="Q70" s="6">
        <v>45853.0</v>
      </c>
      <c r="R70" s="1" t="s">
        <v>37</v>
      </c>
    </row>
    <row r="71" ht="14.25" customHeight="1">
      <c r="A71" s="23" t="s">
        <v>17</v>
      </c>
      <c r="B71" s="23" t="s">
        <v>101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5">
        <v>45853.0</v>
      </c>
      <c r="R71" s="23" t="s">
        <v>39</v>
      </c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1" t="s">
        <v>17</v>
      </c>
      <c r="Q72" s="6">
        <v>45860.0</v>
      </c>
      <c r="R72" s="1" t="s">
        <v>19</v>
      </c>
    </row>
    <row r="73" ht="14.25" customHeight="1">
      <c r="A73" s="1" t="s">
        <v>17</v>
      </c>
      <c r="B73" s="1" t="s">
        <v>102</v>
      </c>
      <c r="Q73" s="6">
        <v>45860.0</v>
      </c>
      <c r="R73" s="1" t="s">
        <v>23</v>
      </c>
    </row>
    <row r="74" ht="14.25" customHeight="1">
      <c r="A74" s="1" t="s">
        <v>17</v>
      </c>
      <c r="Q74" s="6">
        <v>45860.0</v>
      </c>
      <c r="R74" s="1" t="s">
        <v>25</v>
      </c>
    </row>
    <row r="75" ht="14.25" customHeight="1">
      <c r="A75" s="1" t="s">
        <v>17</v>
      </c>
      <c r="B75" s="1" t="s">
        <v>104</v>
      </c>
      <c r="Q75" s="6">
        <v>45860.0</v>
      </c>
      <c r="R75" s="1" t="s">
        <v>27</v>
      </c>
    </row>
    <row r="76" ht="14.25" customHeight="1">
      <c r="A76" s="1" t="s">
        <v>17</v>
      </c>
      <c r="Q76" s="6">
        <v>45860.0</v>
      </c>
      <c r="R76" s="1" t="s">
        <v>29</v>
      </c>
    </row>
    <row r="77" ht="14.25" customHeight="1">
      <c r="A77" s="1" t="s">
        <v>17</v>
      </c>
      <c r="B77" s="1" t="s">
        <v>105</v>
      </c>
      <c r="Q77" s="6">
        <v>45860.0</v>
      </c>
      <c r="R77" s="1" t="s">
        <v>31</v>
      </c>
    </row>
    <row r="78" ht="14.25" customHeight="1">
      <c r="A78" s="1" t="s">
        <v>17</v>
      </c>
      <c r="Q78" s="6">
        <v>45860.0</v>
      </c>
      <c r="R78" s="1" t="s">
        <v>33</v>
      </c>
    </row>
    <row r="79" ht="14.25" customHeight="1">
      <c r="A79" s="1" t="s">
        <v>17</v>
      </c>
      <c r="B79" s="1" t="s">
        <v>106</v>
      </c>
      <c r="Q79" s="6">
        <v>45860.0</v>
      </c>
      <c r="R79" s="1" t="s">
        <v>35</v>
      </c>
    </row>
    <row r="80" ht="14.25" customHeight="1">
      <c r="A80" s="1" t="s">
        <v>17</v>
      </c>
      <c r="Q80" s="6">
        <v>45860.0</v>
      </c>
      <c r="R80" s="1" t="s">
        <v>37</v>
      </c>
    </row>
    <row r="81" ht="14.25" customHeight="1">
      <c r="A81" s="1" t="s">
        <v>17</v>
      </c>
      <c r="B81" s="1" t="s">
        <v>107</v>
      </c>
      <c r="Q81" s="6">
        <v>45860.0</v>
      </c>
      <c r="R81" s="1" t="s">
        <v>39</v>
      </c>
    </row>
    <row r="82" ht="14.25" customHeight="1">
      <c r="A82" s="1" t="s">
        <v>17</v>
      </c>
      <c r="Q82" s="6">
        <v>45800.0</v>
      </c>
      <c r="R82" s="1" t="s">
        <v>114</v>
      </c>
    </row>
    <row r="83" ht="14.25" customHeight="1">
      <c r="A83" s="1" t="s">
        <v>17</v>
      </c>
      <c r="B83" s="1" t="s">
        <v>108</v>
      </c>
      <c r="Q83" s="6">
        <v>45800.0</v>
      </c>
      <c r="R83" s="1" t="s">
        <v>117</v>
      </c>
    </row>
    <row r="84" ht="14.25" customHeight="1">
      <c r="A84" s="1" t="s">
        <v>17</v>
      </c>
      <c r="Q84" s="6">
        <v>45800.0</v>
      </c>
      <c r="R84" s="1" t="s">
        <v>119</v>
      </c>
    </row>
    <row r="85" ht="14.25" customHeight="1">
      <c r="A85" s="1" t="s">
        <v>17</v>
      </c>
      <c r="B85" s="1" t="s">
        <v>109</v>
      </c>
      <c r="Q85" s="6">
        <v>45800.0</v>
      </c>
      <c r="R85" s="1" t="s">
        <v>121</v>
      </c>
    </row>
    <row r="86" ht="14.25" customHeight="1">
      <c r="A86" s="1" t="s">
        <v>17</v>
      </c>
      <c r="Q86" s="6">
        <v>45807.0</v>
      </c>
      <c r="R86" s="1" t="s">
        <v>114</v>
      </c>
    </row>
    <row r="87" ht="14.25" customHeight="1">
      <c r="A87" s="1" t="s">
        <v>17</v>
      </c>
      <c r="B87" s="1" t="s">
        <v>110</v>
      </c>
      <c r="Q87" s="6">
        <v>45807.0</v>
      </c>
      <c r="R87" s="1" t="s">
        <v>117</v>
      </c>
    </row>
    <row r="88" ht="14.25" customHeight="1">
      <c r="A88" s="1" t="s">
        <v>17</v>
      </c>
      <c r="Q88" s="6">
        <v>45807.0</v>
      </c>
      <c r="R88" s="1" t="s">
        <v>119</v>
      </c>
    </row>
    <row r="89" ht="14.25" customHeight="1">
      <c r="A89" s="1" t="s">
        <v>17</v>
      </c>
      <c r="B89" s="1" t="s">
        <v>111</v>
      </c>
      <c r="Q89" s="6">
        <v>45807.0</v>
      </c>
      <c r="R89" s="1" t="s">
        <v>121</v>
      </c>
    </row>
    <row r="90" ht="14.25" customHeight="1">
      <c r="A90" s="1" t="s">
        <v>17</v>
      </c>
      <c r="Q90" s="6">
        <v>45814.0</v>
      </c>
      <c r="R90" s="1" t="s">
        <v>114</v>
      </c>
    </row>
    <row r="91" ht="14.25" customHeight="1">
      <c r="A91" s="1" t="s">
        <v>17</v>
      </c>
      <c r="B91" s="1" t="s">
        <v>112</v>
      </c>
      <c r="Q91" s="6">
        <v>45814.0</v>
      </c>
      <c r="R91" s="1" t="s">
        <v>117</v>
      </c>
    </row>
    <row r="92" ht="14.25" customHeight="1">
      <c r="A92" s="1" t="s">
        <v>17</v>
      </c>
      <c r="Q92" s="6">
        <v>45814.0</v>
      </c>
      <c r="R92" s="1" t="s">
        <v>119</v>
      </c>
    </row>
    <row r="93" ht="14.25" customHeight="1">
      <c r="A93" s="1" t="s">
        <v>17</v>
      </c>
      <c r="B93" s="1" t="s">
        <v>113</v>
      </c>
      <c r="Q93" s="6">
        <v>45814.0</v>
      </c>
      <c r="R93" s="1" t="s">
        <v>121</v>
      </c>
    </row>
    <row r="94" ht="14.25" customHeight="1">
      <c r="A94" s="1" t="s">
        <v>17</v>
      </c>
      <c r="Q94" s="6">
        <v>45828.0</v>
      </c>
      <c r="R94" s="1" t="s">
        <v>114</v>
      </c>
    </row>
    <row r="95" ht="14.25" customHeight="1">
      <c r="A95" s="1" t="s">
        <v>17</v>
      </c>
      <c r="B95" s="1" t="s">
        <v>116</v>
      </c>
      <c r="Q95" s="6">
        <v>45828.0</v>
      </c>
      <c r="R95" s="1" t="s">
        <v>117</v>
      </c>
    </row>
    <row r="96" ht="14.25" customHeight="1">
      <c r="A96" s="1" t="s">
        <v>17</v>
      </c>
      <c r="Q96" s="6">
        <v>45828.0</v>
      </c>
      <c r="R96" s="1" t="s">
        <v>119</v>
      </c>
    </row>
    <row r="97" ht="14.25" customHeight="1">
      <c r="A97" s="1" t="s">
        <v>17</v>
      </c>
      <c r="B97" s="1" t="s">
        <v>118</v>
      </c>
      <c r="Q97" s="6">
        <v>45828.0</v>
      </c>
      <c r="R97" s="1" t="s">
        <v>121</v>
      </c>
    </row>
    <row r="98" ht="14.25" customHeight="1">
      <c r="A98" s="1" t="s">
        <v>17</v>
      </c>
      <c r="Q98" s="6">
        <v>45841.0</v>
      </c>
      <c r="R98" s="1" t="s">
        <v>114</v>
      </c>
    </row>
    <row r="99" ht="14.25" customHeight="1">
      <c r="A99" s="1" t="s">
        <v>17</v>
      </c>
      <c r="B99" s="1" t="s">
        <v>120</v>
      </c>
      <c r="Q99" s="6">
        <v>45841.0</v>
      </c>
      <c r="R99" s="1" t="s">
        <v>117</v>
      </c>
    </row>
    <row r="100" ht="14.25" customHeight="1">
      <c r="A100" s="1" t="s">
        <v>17</v>
      </c>
      <c r="Q100" s="6">
        <v>45841.0</v>
      </c>
      <c r="R100" s="1" t="s">
        <v>119</v>
      </c>
    </row>
    <row r="101" ht="14.25" customHeight="1">
      <c r="A101" s="1" t="s">
        <v>17</v>
      </c>
      <c r="B101" s="1" t="s">
        <v>122</v>
      </c>
      <c r="Q101" s="6">
        <v>45841.0</v>
      </c>
      <c r="R101" s="1" t="s">
        <v>121</v>
      </c>
    </row>
    <row r="102" ht="14.25" customHeight="1">
      <c r="A102" s="1" t="s">
        <v>17</v>
      </c>
      <c r="Q102" s="6">
        <v>45856.0</v>
      </c>
      <c r="R102" s="1" t="s">
        <v>114</v>
      </c>
    </row>
    <row r="103" ht="14.25" customHeight="1">
      <c r="A103" s="1" t="s">
        <v>17</v>
      </c>
      <c r="B103" s="1" t="s">
        <v>123</v>
      </c>
      <c r="Q103" s="6">
        <v>45856.0</v>
      </c>
      <c r="R103" s="1" t="s">
        <v>117</v>
      </c>
    </row>
    <row r="104" ht="14.25" customHeight="1">
      <c r="A104" s="1" t="s">
        <v>17</v>
      </c>
      <c r="Q104" s="6">
        <v>45856.0</v>
      </c>
      <c r="R104" s="1" t="s">
        <v>119</v>
      </c>
    </row>
    <row r="105" ht="14.25" customHeight="1">
      <c r="A105" s="1" t="s">
        <v>17</v>
      </c>
      <c r="B105" s="1" t="s">
        <v>124</v>
      </c>
      <c r="Q105" s="6">
        <v>45856.0</v>
      </c>
      <c r="R105" s="1" t="s">
        <v>121</v>
      </c>
    </row>
    <row r="106" ht="14.25" customHeight="1">
      <c r="A106" s="1" t="s">
        <v>17</v>
      </c>
      <c r="Q106" s="6">
        <v>45856.0</v>
      </c>
      <c r="R106" s="1" t="s">
        <v>143</v>
      </c>
    </row>
    <row r="107" ht="14.25" customHeight="1">
      <c r="A107" s="1" t="s">
        <v>144</v>
      </c>
      <c r="B107" s="1" t="s">
        <v>125</v>
      </c>
      <c r="C107" s="6">
        <v>45867.0</v>
      </c>
      <c r="D107" s="1" t="s">
        <v>19</v>
      </c>
    </row>
    <row r="108" ht="14.25" customHeight="1">
      <c r="A108" s="1" t="s">
        <v>144</v>
      </c>
      <c r="C108" s="6">
        <v>45867.0</v>
      </c>
      <c r="D108" s="1" t="s">
        <v>23</v>
      </c>
    </row>
    <row r="109" ht="14.25" customHeight="1">
      <c r="A109" s="1" t="s">
        <v>144</v>
      </c>
      <c r="B109" s="1" t="s">
        <v>126</v>
      </c>
      <c r="C109" s="6">
        <v>45867.0</v>
      </c>
      <c r="D109" s="1" t="s">
        <v>25</v>
      </c>
    </row>
    <row r="110" ht="14.25" customHeight="1">
      <c r="A110" s="1" t="s">
        <v>144</v>
      </c>
      <c r="C110" s="6">
        <v>45867.0</v>
      </c>
      <c r="D110" s="1" t="s">
        <v>149</v>
      </c>
    </row>
    <row r="111" ht="14.25" customHeight="1">
      <c r="A111" s="1" t="s">
        <v>144</v>
      </c>
      <c r="B111" s="1" t="s">
        <v>127</v>
      </c>
      <c r="C111" s="6">
        <v>45867.0</v>
      </c>
      <c r="D111" s="1" t="s">
        <v>29</v>
      </c>
    </row>
    <row r="112" ht="14.25" customHeight="1">
      <c r="A112" s="1" t="s">
        <v>144</v>
      </c>
      <c r="C112" s="6">
        <v>45867.0</v>
      </c>
      <c r="D112" s="1" t="s">
        <v>152</v>
      </c>
    </row>
    <row r="113" ht="14.25" customHeight="1">
      <c r="A113" s="1" t="s">
        <v>144</v>
      </c>
      <c r="B113" s="1" t="s">
        <v>128</v>
      </c>
      <c r="C113" s="6">
        <v>45867.0</v>
      </c>
      <c r="D113" s="1" t="s">
        <v>154</v>
      </c>
    </row>
    <row r="114" ht="14.25" customHeight="1">
      <c r="A114" s="1" t="s">
        <v>144</v>
      </c>
      <c r="C114" s="6">
        <v>45867.0</v>
      </c>
      <c r="D114" s="1" t="s">
        <v>156</v>
      </c>
    </row>
    <row r="115" ht="14.25" customHeight="1">
      <c r="A115" s="1" t="s">
        <v>144</v>
      </c>
      <c r="B115" s="1" t="s">
        <v>129</v>
      </c>
      <c r="C115" s="6">
        <v>45867.0</v>
      </c>
      <c r="D115" s="1" t="s">
        <v>158</v>
      </c>
    </row>
    <row r="116" ht="14.25" customHeight="1">
      <c r="A116" s="1" t="s">
        <v>144</v>
      </c>
      <c r="C116" s="6">
        <v>45867.0</v>
      </c>
      <c r="D116" s="1" t="s">
        <v>39</v>
      </c>
    </row>
    <row r="117" ht="14.25" customHeight="1">
      <c r="A117" s="1" t="s">
        <v>144</v>
      </c>
      <c r="B117" s="1" t="s">
        <v>130</v>
      </c>
      <c r="C117" s="6">
        <v>45874.0</v>
      </c>
      <c r="D117" s="1" t="s">
        <v>19</v>
      </c>
    </row>
    <row r="118" ht="14.25" customHeight="1">
      <c r="A118" s="1" t="s">
        <v>144</v>
      </c>
      <c r="C118" s="6">
        <v>45874.0</v>
      </c>
      <c r="D118" s="1" t="s">
        <v>23</v>
      </c>
    </row>
    <row r="119" ht="14.25" customHeight="1">
      <c r="A119" s="1" t="s">
        <v>144</v>
      </c>
      <c r="B119" s="1" t="s">
        <v>131</v>
      </c>
      <c r="C119" s="6">
        <v>45874.0</v>
      </c>
      <c r="D119" s="1" t="s">
        <v>25</v>
      </c>
    </row>
    <row r="120" ht="14.25" customHeight="1">
      <c r="A120" s="1" t="s">
        <v>144</v>
      </c>
      <c r="C120" s="6">
        <v>45874.0</v>
      </c>
      <c r="D120" s="1" t="s">
        <v>149</v>
      </c>
    </row>
    <row r="121" ht="14.25" customHeight="1">
      <c r="A121" s="1" t="s">
        <v>144</v>
      </c>
      <c r="B121" s="1" t="s">
        <v>132</v>
      </c>
      <c r="C121" s="6">
        <v>45874.0</v>
      </c>
      <c r="D121" s="1" t="s">
        <v>29</v>
      </c>
    </row>
    <row r="122" ht="14.25" customHeight="1">
      <c r="A122" s="1" t="s">
        <v>144</v>
      </c>
      <c r="C122" s="6">
        <v>45874.0</v>
      </c>
      <c r="D122" s="1" t="s">
        <v>156</v>
      </c>
    </row>
    <row r="123" ht="14.25" customHeight="1">
      <c r="A123" s="1" t="s">
        <v>144</v>
      </c>
      <c r="B123" s="1" t="s">
        <v>133</v>
      </c>
      <c r="C123" s="6">
        <v>45874.0</v>
      </c>
      <c r="D123" s="1" t="s">
        <v>158</v>
      </c>
    </row>
    <row r="124" ht="14.25" customHeight="1">
      <c r="A124" s="23" t="s">
        <v>144</v>
      </c>
      <c r="C124" s="25">
        <v>45874.0</v>
      </c>
      <c r="D124" s="23" t="s">
        <v>39</v>
      </c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4.25" customHeight="1">
      <c r="A125" s="1" t="s">
        <v>144</v>
      </c>
      <c r="B125" s="1" t="s">
        <v>134</v>
      </c>
      <c r="C125" s="6">
        <v>45881.0</v>
      </c>
      <c r="D125" s="1" t="s">
        <v>19</v>
      </c>
    </row>
    <row r="126" ht="14.25" customHeight="1">
      <c r="A126" s="1" t="s">
        <v>144</v>
      </c>
      <c r="C126" s="6">
        <v>45881.0</v>
      </c>
      <c r="D126" s="1" t="s">
        <v>23</v>
      </c>
    </row>
    <row r="127" ht="14.25" customHeight="1">
      <c r="A127" s="1" t="s">
        <v>144</v>
      </c>
      <c r="B127" s="1" t="s">
        <v>135</v>
      </c>
      <c r="C127" s="6">
        <v>45881.0</v>
      </c>
      <c r="D127" s="1" t="s">
        <v>25</v>
      </c>
    </row>
    <row r="128" ht="14.25" customHeight="1">
      <c r="A128" s="1" t="s">
        <v>144</v>
      </c>
      <c r="C128" s="6">
        <v>45881.0</v>
      </c>
      <c r="D128" s="1" t="s">
        <v>149</v>
      </c>
    </row>
    <row r="129" ht="14.25" customHeight="1">
      <c r="A129" s="1" t="s">
        <v>144</v>
      </c>
      <c r="B129" s="1" t="s">
        <v>136</v>
      </c>
      <c r="C129" s="6">
        <v>45881.0</v>
      </c>
      <c r="D129" s="1" t="s">
        <v>29</v>
      </c>
    </row>
    <row r="130" ht="14.25" customHeight="1">
      <c r="A130" s="1" t="s">
        <v>144</v>
      </c>
      <c r="C130" s="6">
        <v>45881.0</v>
      </c>
      <c r="D130" s="1" t="s">
        <v>152</v>
      </c>
    </row>
    <row r="131" ht="14.25" customHeight="1">
      <c r="A131" s="1" t="s">
        <v>144</v>
      </c>
      <c r="B131" s="1" t="s">
        <v>137</v>
      </c>
      <c r="C131" s="6">
        <v>45881.0</v>
      </c>
      <c r="D131" s="1" t="s">
        <v>154</v>
      </c>
    </row>
    <row r="132" ht="14.25" customHeight="1">
      <c r="A132" s="1" t="s">
        <v>144</v>
      </c>
      <c r="C132" s="6">
        <v>45881.0</v>
      </c>
      <c r="D132" s="1" t="s">
        <v>156</v>
      </c>
    </row>
    <row r="133" ht="14.25" customHeight="1">
      <c r="A133" s="1" t="s">
        <v>144</v>
      </c>
      <c r="C133" s="6">
        <v>45881.0</v>
      </c>
      <c r="D133" s="1" t="s">
        <v>158</v>
      </c>
    </row>
    <row r="134" ht="14.25" customHeight="1">
      <c r="A134" s="1" t="s">
        <v>144</v>
      </c>
      <c r="B134" s="1" t="s">
        <v>138</v>
      </c>
      <c r="C134" s="6">
        <v>45881.0</v>
      </c>
      <c r="D134" s="1" t="s">
        <v>39</v>
      </c>
    </row>
    <row r="135" ht="14.25" customHeight="1">
      <c r="A135" s="1" t="s">
        <v>144</v>
      </c>
      <c r="C135" s="6">
        <v>45889.0</v>
      </c>
      <c r="D135" s="1" t="s">
        <v>19</v>
      </c>
    </row>
    <row r="136" ht="14.25" customHeight="1">
      <c r="A136" s="1" t="s">
        <v>144</v>
      </c>
      <c r="B136" s="1" t="s">
        <v>139</v>
      </c>
      <c r="C136" s="6">
        <v>45889.0</v>
      </c>
      <c r="D136" s="1" t="s">
        <v>23</v>
      </c>
    </row>
    <row r="137" ht="14.25" customHeight="1">
      <c r="A137" s="1" t="s">
        <v>144</v>
      </c>
      <c r="C137" s="6">
        <v>45889.0</v>
      </c>
      <c r="D137" s="1" t="s">
        <v>25</v>
      </c>
    </row>
    <row r="138" ht="14.25" customHeight="1">
      <c r="A138" s="1" t="s">
        <v>144</v>
      </c>
      <c r="B138" s="1" t="s">
        <v>140</v>
      </c>
      <c r="C138" s="6">
        <v>45889.0</v>
      </c>
      <c r="D138" s="1" t="s">
        <v>149</v>
      </c>
    </row>
    <row r="139" ht="14.25" customHeight="1">
      <c r="A139" s="1" t="s">
        <v>144</v>
      </c>
      <c r="C139" s="6">
        <v>45889.0</v>
      </c>
      <c r="D139" s="1" t="s">
        <v>29</v>
      </c>
    </row>
    <row r="140" ht="14.25" customHeight="1">
      <c r="A140" s="1" t="s">
        <v>144</v>
      </c>
      <c r="B140" s="1" t="s">
        <v>141</v>
      </c>
      <c r="C140" s="6">
        <v>45889.0</v>
      </c>
      <c r="D140" s="1" t="s">
        <v>152</v>
      </c>
    </row>
    <row r="141" ht="14.25" customHeight="1">
      <c r="A141" s="1" t="s">
        <v>144</v>
      </c>
      <c r="C141" s="6">
        <v>45889.0</v>
      </c>
      <c r="D141" s="1" t="s">
        <v>154</v>
      </c>
    </row>
    <row r="142" ht="14.25" customHeight="1">
      <c r="A142" s="1" t="s">
        <v>144</v>
      </c>
      <c r="B142" s="1" t="s">
        <v>142</v>
      </c>
      <c r="C142" s="6">
        <v>45889.0</v>
      </c>
      <c r="D142" s="1" t="s">
        <v>156</v>
      </c>
    </row>
    <row r="143" ht="14.25" customHeight="1">
      <c r="A143" s="1" t="s">
        <v>144</v>
      </c>
      <c r="C143" s="6">
        <v>45889.0</v>
      </c>
      <c r="D143" s="1" t="s">
        <v>158</v>
      </c>
    </row>
    <row r="144" ht="14.25" customHeight="1">
      <c r="A144" s="1" t="s">
        <v>144</v>
      </c>
      <c r="B144" s="1" t="s">
        <v>145</v>
      </c>
      <c r="C144" s="6">
        <v>45895.0</v>
      </c>
      <c r="D144" s="1" t="s">
        <v>19</v>
      </c>
    </row>
    <row r="145" ht="14.25" customHeight="1">
      <c r="A145" s="1" t="s">
        <v>144</v>
      </c>
      <c r="C145" s="6">
        <v>45895.0</v>
      </c>
      <c r="D145" s="1" t="s">
        <v>23</v>
      </c>
    </row>
    <row r="146" ht="14.25" customHeight="1">
      <c r="A146" s="1" t="s">
        <v>144</v>
      </c>
      <c r="B146" s="1" t="s">
        <v>146</v>
      </c>
      <c r="C146" s="6">
        <v>45895.0</v>
      </c>
      <c r="D146" s="1" t="s">
        <v>25</v>
      </c>
    </row>
    <row r="147" ht="14.25" customHeight="1">
      <c r="A147" s="1" t="s">
        <v>144</v>
      </c>
      <c r="C147" s="6">
        <v>45895.0</v>
      </c>
      <c r="D147" s="1" t="s">
        <v>149</v>
      </c>
    </row>
    <row r="148" ht="14.25" customHeight="1">
      <c r="A148" s="1" t="s">
        <v>144</v>
      </c>
      <c r="B148" s="1" t="s">
        <v>147</v>
      </c>
      <c r="C148" s="6">
        <v>45895.0</v>
      </c>
      <c r="D148" s="1" t="s">
        <v>29</v>
      </c>
    </row>
    <row r="149" ht="14.25" customHeight="1">
      <c r="A149" s="1" t="s">
        <v>144</v>
      </c>
      <c r="C149" s="6">
        <v>45895.0</v>
      </c>
      <c r="D149" s="1" t="s">
        <v>152</v>
      </c>
    </row>
    <row r="150" ht="14.25" customHeight="1">
      <c r="A150" s="1" t="s">
        <v>144</v>
      </c>
      <c r="B150" s="1" t="s">
        <v>148</v>
      </c>
      <c r="C150" s="6">
        <v>45895.0</v>
      </c>
      <c r="D150" s="1" t="s">
        <v>154</v>
      </c>
    </row>
    <row r="151" ht="14.25" customHeight="1">
      <c r="A151" s="1" t="s">
        <v>144</v>
      </c>
      <c r="C151" s="6">
        <v>45895.0</v>
      </c>
      <c r="D151" s="1" t="s">
        <v>156</v>
      </c>
    </row>
    <row r="152" ht="14.25" customHeight="1">
      <c r="A152" s="1" t="s">
        <v>144</v>
      </c>
      <c r="B152" s="1" t="s">
        <v>150</v>
      </c>
      <c r="C152" s="6">
        <v>45895.0</v>
      </c>
      <c r="D152" s="1" t="s">
        <v>158</v>
      </c>
    </row>
    <row r="153" ht="14.25" customHeight="1">
      <c r="A153" s="1" t="s">
        <v>144</v>
      </c>
      <c r="C153" s="6">
        <v>45902.0</v>
      </c>
      <c r="D153" s="1" t="s">
        <v>19</v>
      </c>
    </row>
    <row r="154" ht="14.25" customHeight="1">
      <c r="A154" s="1" t="s">
        <v>144</v>
      </c>
      <c r="B154" s="1" t="s">
        <v>151</v>
      </c>
      <c r="C154" s="6">
        <v>45902.0</v>
      </c>
      <c r="D154" s="1" t="s">
        <v>23</v>
      </c>
    </row>
    <row r="155" ht="14.25" customHeight="1">
      <c r="A155" s="1" t="s">
        <v>144</v>
      </c>
      <c r="C155" s="6">
        <v>45902.0</v>
      </c>
      <c r="D155" s="1" t="s">
        <v>25</v>
      </c>
    </row>
    <row r="156" ht="14.25" customHeight="1">
      <c r="A156" s="1" t="s">
        <v>144</v>
      </c>
      <c r="B156" s="1" t="s">
        <v>153</v>
      </c>
      <c r="C156" s="6">
        <v>45902.0</v>
      </c>
      <c r="D156" s="1" t="s">
        <v>149</v>
      </c>
    </row>
    <row r="157" ht="14.25" customHeight="1">
      <c r="A157" s="1" t="s">
        <v>144</v>
      </c>
      <c r="C157" s="6">
        <v>45902.0</v>
      </c>
      <c r="D157" s="1" t="s">
        <v>29</v>
      </c>
    </row>
    <row r="158" ht="14.25" customHeight="1">
      <c r="A158" s="1" t="s">
        <v>144</v>
      </c>
      <c r="B158" s="1" t="s">
        <v>155</v>
      </c>
      <c r="C158" s="6">
        <v>45902.0</v>
      </c>
      <c r="D158" s="1" t="s">
        <v>152</v>
      </c>
    </row>
    <row r="159" ht="14.25" customHeight="1">
      <c r="A159" s="1" t="s">
        <v>144</v>
      </c>
      <c r="C159" s="6">
        <v>45902.0</v>
      </c>
      <c r="D159" s="1" t="s">
        <v>154</v>
      </c>
    </row>
    <row r="160" ht="14.25" customHeight="1">
      <c r="A160" s="1" t="s">
        <v>144</v>
      </c>
      <c r="B160" s="1" t="s">
        <v>157</v>
      </c>
      <c r="C160" s="6">
        <v>45902.0</v>
      </c>
      <c r="D160" s="1" t="s">
        <v>156</v>
      </c>
    </row>
    <row r="161" ht="14.25" customHeight="1">
      <c r="A161" s="1" t="s">
        <v>144</v>
      </c>
      <c r="C161" s="6">
        <v>45902.0</v>
      </c>
      <c r="D161" s="1" t="s">
        <v>158</v>
      </c>
    </row>
    <row r="162" ht="14.25" customHeight="1">
      <c r="A162" s="1" t="s">
        <v>144</v>
      </c>
      <c r="B162" s="1" t="s">
        <v>159</v>
      </c>
      <c r="C162" s="6">
        <v>45902.0</v>
      </c>
      <c r="D162" s="1" t="s">
        <v>39</v>
      </c>
    </row>
    <row r="163" ht="14.25" customHeight="1">
      <c r="A163" s="1" t="s">
        <v>144</v>
      </c>
      <c r="C163" s="6">
        <v>45909.0</v>
      </c>
      <c r="D163" s="1" t="s">
        <v>19</v>
      </c>
    </row>
    <row r="164" ht="14.25" customHeight="1">
      <c r="A164" s="1" t="s">
        <v>144</v>
      </c>
      <c r="B164" s="1" t="s">
        <v>160</v>
      </c>
      <c r="C164" s="6">
        <v>45909.0</v>
      </c>
      <c r="D164" s="1" t="s">
        <v>23</v>
      </c>
    </row>
    <row r="165" ht="14.25" customHeight="1">
      <c r="A165" s="1" t="s">
        <v>144</v>
      </c>
      <c r="C165" s="6">
        <v>45909.0</v>
      </c>
      <c r="D165" s="1" t="s">
        <v>25</v>
      </c>
    </row>
    <row r="166" ht="14.25" customHeight="1">
      <c r="A166" s="1" t="s">
        <v>144</v>
      </c>
      <c r="B166" s="1" t="s">
        <v>161</v>
      </c>
      <c r="C166" s="6">
        <v>45909.0</v>
      </c>
      <c r="D166" s="1" t="s">
        <v>149</v>
      </c>
    </row>
    <row r="167" ht="14.25" customHeight="1">
      <c r="A167" s="1" t="s">
        <v>144</v>
      </c>
      <c r="C167" s="6">
        <v>45909.0</v>
      </c>
      <c r="D167" s="1" t="s">
        <v>29</v>
      </c>
    </row>
    <row r="168" ht="14.25" customHeight="1">
      <c r="A168" s="1" t="s">
        <v>144</v>
      </c>
      <c r="B168" s="1" t="s">
        <v>162</v>
      </c>
      <c r="C168" s="6">
        <v>45909.0</v>
      </c>
      <c r="D168" s="1" t="s">
        <v>152</v>
      </c>
    </row>
    <row r="169" ht="14.25" customHeight="1">
      <c r="A169" s="1" t="s">
        <v>144</v>
      </c>
      <c r="C169" s="6">
        <v>45909.0</v>
      </c>
      <c r="D169" s="1" t="s">
        <v>154</v>
      </c>
    </row>
    <row r="170" ht="14.25" customHeight="1">
      <c r="A170" s="1" t="s">
        <v>144</v>
      </c>
      <c r="B170" s="1" t="s">
        <v>163</v>
      </c>
      <c r="C170" s="6">
        <v>45909.0</v>
      </c>
      <c r="D170" s="1" t="s">
        <v>156</v>
      </c>
    </row>
    <row r="171" ht="14.25" customHeight="1">
      <c r="A171" s="1" t="s">
        <v>144</v>
      </c>
      <c r="C171" s="6">
        <v>45909.0</v>
      </c>
      <c r="D171" s="1" t="s">
        <v>158</v>
      </c>
    </row>
    <row r="172" ht="14.25" customHeight="1">
      <c r="A172" s="23" t="s">
        <v>144</v>
      </c>
      <c r="B172" s="1" t="s">
        <v>164</v>
      </c>
      <c r="C172" s="25">
        <v>45909.0</v>
      </c>
      <c r="D172" s="23" t="s">
        <v>39</v>
      </c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4.25" customHeight="1">
      <c r="A173" s="1" t="s">
        <v>144</v>
      </c>
      <c r="C173" s="6">
        <v>45916.0</v>
      </c>
      <c r="D173" s="1" t="s">
        <v>19</v>
      </c>
    </row>
    <row r="174" ht="14.25" customHeight="1">
      <c r="A174" s="1" t="s">
        <v>144</v>
      </c>
      <c r="B174" s="1" t="s">
        <v>165</v>
      </c>
      <c r="C174" s="6">
        <v>45916.0</v>
      </c>
      <c r="D174" s="1" t="s">
        <v>23</v>
      </c>
    </row>
    <row r="175" ht="14.25" customHeight="1">
      <c r="A175" s="1" t="s">
        <v>144</v>
      </c>
      <c r="C175" s="6">
        <v>45916.0</v>
      </c>
      <c r="D175" s="1" t="s">
        <v>25</v>
      </c>
    </row>
    <row r="176" ht="14.25" customHeight="1">
      <c r="A176" s="1" t="s">
        <v>144</v>
      </c>
      <c r="B176" s="1" t="s">
        <v>166</v>
      </c>
      <c r="C176" s="6">
        <v>45916.0</v>
      </c>
      <c r="D176" s="1" t="s">
        <v>149</v>
      </c>
    </row>
    <row r="177" ht="14.25" customHeight="1">
      <c r="A177" s="1" t="s">
        <v>144</v>
      </c>
      <c r="C177" s="6">
        <v>45916.0</v>
      </c>
      <c r="D177" s="1" t="s">
        <v>29</v>
      </c>
    </row>
    <row r="178" ht="14.25" customHeight="1">
      <c r="A178" s="1" t="s">
        <v>144</v>
      </c>
      <c r="B178" s="23" t="s">
        <v>167</v>
      </c>
      <c r="C178" s="6">
        <v>45916.0</v>
      </c>
      <c r="D178" s="1" t="s">
        <v>152</v>
      </c>
    </row>
    <row r="179" ht="14.25" customHeight="1">
      <c r="A179" s="1" t="s">
        <v>144</v>
      </c>
      <c r="C179" s="6">
        <v>45916.0</v>
      </c>
      <c r="D179" s="1" t="s">
        <v>154</v>
      </c>
    </row>
    <row r="180" ht="14.25" customHeight="1">
      <c r="A180" s="1" t="s">
        <v>144</v>
      </c>
      <c r="B180" s="1" t="s">
        <v>168</v>
      </c>
      <c r="C180" s="6">
        <v>45916.0</v>
      </c>
      <c r="D180" s="1" t="s">
        <v>156</v>
      </c>
    </row>
    <row r="181" ht="14.25" customHeight="1">
      <c r="A181" s="1" t="s">
        <v>144</v>
      </c>
      <c r="C181" s="6">
        <v>45916.0</v>
      </c>
      <c r="D181" s="1" t="s">
        <v>158</v>
      </c>
    </row>
    <row r="182" ht="14.25" customHeight="1">
      <c r="A182" s="1" t="s">
        <v>144</v>
      </c>
      <c r="B182" s="1" t="s">
        <v>170</v>
      </c>
      <c r="C182" s="6">
        <v>45869.0</v>
      </c>
      <c r="D182" s="1" t="s">
        <v>114</v>
      </c>
    </row>
    <row r="183" ht="14.25" customHeight="1">
      <c r="A183" s="1" t="s">
        <v>144</v>
      </c>
      <c r="C183" s="6">
        <v>45869.0</v>
      </c>
      <c r="D183" s="1" t="s">
        <v>117</v>
      </c>
    </row>
    <row r="184" ht="14.25" customHeight="1">
      <c r="A184" s="1" t="s">
        <v>144</v>
      </c>
      <c r="B184" s="1" t="s">
        <v>171</v>
      </c>
      <c r="C184" s="6">
        <v>45869.0</v>
      </c>
      <c r="D184" s="1" t="s">
        <v>119</v>
      </c>
    </row>
    <row r="185" ht="14.25" customHeight="1">
      <c r="A185" s="1" t="s">
        <v>144</v>
      </c>
      <c r="C185" s="6">
        <v>45869.0</v>
      </c>
      <c r="D185" s="1" t="s">
        <v>121</v>
      </c>
    </row>
    <row r="186" ht="14.25" customHeight="1">
      <c r="A186" s="1" t="s">
        <v>144</v>
      </c>
      <c r="B186" s="1" t="s">
        <v>172</v>
      </c>
      <c r="C186" s="6">
        <v>45883.0</v>
      </c>
      <c r="D186" s="1" t="s">
        <v>114</v>
      </c>
    </row>
    <row r="187" ht="14.25" customHeight="1">
      <c r="A187" s="1" t="s">
        <v>144</v>
      </c>
      <c r="C187" s="6">
        <v>45883.0</v>
      </c>
      <c r="D187" s="1" t="s">
        <v>117</v>
      </c>
    </row>
    <row r="188" ht="14.25" customHeight="1">
      <c r="A188" s="1" t="s">
        <v>144</v>
      </c>
      <c r="B188" s="1" t="s">
        <v>173</v>
      </c>
      <c r="C188" s="6">
        <v>45883.0</v>
      </c>
      <c r="D188" s="1" t="s">
        <v>119</v>
      </c>
    </row>
    <row r="189" ht="14.25" customHeight="1">
      <c r="A189" s="1" t="s">
        <v>144</v>
      </c>
      <c r="C189" s="6">
        <v>45883.0</v>
      </c>
      <c r="D189" s="1" t="s">
        <v>121</v>
      </c>
    </row>
    <row r="190" ht="14.25" customHeight="1">
      <c r="A190" s="1" t="s">
        <v>144</v>
      </c>
      <c r="B190" s="1" t="s">
        <v>174</v>
      </c>
      <c r="C190" s="6">
        <v>45883.0</v>
      </c>
      <c r="D190" s="1" t="s">
        <v>237</v>
      </c>
    </row>
    <row r="191" ht="14.25" customHeight="1">
      <c r="A191" s="1" t="s">
        <v>144</v>
      </c>
      <c r="C191" s="6">
        <v>45883.0</v>
      </c>
      <c r="D191" s="1" t="s">
        <v>239</v>
      </c>
    </row>
    <row r="192" ht="14.25" customHeight="1">
      <c r="A192" s="1" t="s">
        <v>144</v>
      </c>
      <c r="B192" s="1" t="s">
        <v>175</v>
      </c>
      <c r="C192" s="6">
        <v>45898.0</v>
      </c>
      <c r="D192" s="1" t="s">
        <v>114</v>
      </c>
    </row>
    <row r="193" ht="14.25" customHeight="1">
      <c r="A193" s="1" t="s">
        <v>144</v>
      </c>
      <c r="C193" s="6">
        <v>45898.0</v>
      </c>
      <c r="D193" s="1" t="s">
        <v>117</v>
      </c>
    </row>
    <row r="194" ht="14.25" customHeight="1">
      <c r="A194" s="1" t="s">
        <v>144</v>
      </c>
      <c r="B194" s="1" t="s">
        <v>176</v>
      </c>
      <c r="C194" s="6">
        <v>45898.0</v>
      </c>
      <c r="D194" s="1" t="s">
        <v>119</v>
      </c>
    </row>
    <row r="195" ht="14.25" customHeight="1">
      <c r="A195" s="1" t="s">
        <v>144</v>
      </c>
      <c r="C195" s="6">
        <v>45898.0</v>
      </c>
      <c r="D195" s="1" t="s">
        <v>121</v>
      </c>
    </row>
    <row r="196" ht="14.25" customHeight="1">
      <c r="A196" s="1" t="s">
        <v>144</v>
      </c>
      <c r="B196" s="1" t="s">
        <v>177</v>
      </c>
      <c r="C196" s="6">
        <v>45898.0</v>
      </c>
      <c r="D196" s="1" t="s">
        <v>239</v>
      </c>
    </row>
    <row r="197" ht="14.25" customHeight="1">
      <c r="A197" s="1" t="s">
        <v>144</v>
      </c>
      <c r="C197" s="6">
        <v>45912.0</v>
      </c>
      <c r="D197" s="1" t="s">
        <v>114</v>
      </c>
    </row>
    <row r="198" ht="14.25" customHeight="1">
      <c r="A198" s="1" t="s">
        <v>144</v>
      </c>
      <c r="B198" s="1" t="s">
        <v>178</v>
      </c>
      <c r="C198" s="6">
        <v>45912.0</v>
      </c>
      <c r="D198" s="1" t="s">
        <v>117</v>
      </c>
    </row>
    <row r="199" ht="14.25" customHeight="1">
      <c r="A199" s="1" t="s">
        <v>144</v>
      </c>
      <c r="C199" s="6">
        <v>45912.0</v>
      </c>
      <c r="D199" s="1" t="s">
        <v>119</v>
      </c>
    </row>
    <row r="200" ht="14.25" customHeight="1">
      <c r="A200" s="1" t="s">
        <v>144</v>
      </c>
      <c r="B200" s="1" t="s">
        <v>179</v>
      </c>
      <c r="C200" s="6">
        <v>45912.0</v>
      </c>
      <c r="D200" s="1" t="s">
        <v>121</v>
      </c>
    </row>
    <row r="201" ht="14.25" customHeight="1">
      <c r="A201" s="1" t="s">
        <v>144</v>
      </c>
      <c r="C201" s="6">
        <v>45926.0</v>
      </c>
      <c r="D201" s="1" t="s">
        <v>114</v>
      </c>
    </row>
    <row r="202" ht="14.25" customHeight="1">
      <c r="A202" s="1" t="s">
        <v>144</v>
      </c>
      <c r="B202" s="1" t="s">
        <v>180</v>
      </c>
      <c r="C202" s="6">
        <v>45926.0</v>
      </c>
      <c r="D202" s="1" t="s">
        <v>117</v>
      </c>
    </row>
    <row r="203" ht="14.25" customHeight="1">
      <c r="A203" s="1" t="s">
        <v>144</v>
      </c>
      <c r="C203" s="6">
        <v>45926.0</v>
      </c>
      <c r="D203" s="1" t="s">
        <v>119</v>
      </c>
    </row>
    <row r="204" ht="14.25" customHeight="1">
      <c r="A204" s="1" t="s">
        <v>144</v>
      </c>
      <c r="B204" s="1" t="s">
        <v>181</v>
      </c>
      <c r="C204" s="6">
        <v>45926.0</v>
      </c>
      <c r="D204" s="1" t="s">
        <v>121</v>
      </c>
    </row>
    <row r="205" ht="14.25" customHeight="1">
      <c r="A205" s="1" t="s">
        <v>144</v>
      </c>
      <c r="C205" s="6">
        <v>45926.0</v>
      </c>
      <c r="D205" s="1" t="s">
        <v>239</v>
      </c>
    </row>
    <row r="206" ht="14.25" customHeight="1">
      <c r="A206" s="1" t="s">
        <v>144</v>
      </c>
      <c r="B206" s="1" t="s">
        <v>182</v>
      </c>
      <c r="C206" s="6">
        <v>45943.0</v>
      </c>
      <c r="D206" s="1" t="s">
        <v>114</v>
      </c>
    </row>
    <row r="207" ht="14.25" customHeight="1">
      <c r="A207" s="1" t="s">
        <v>144</v>
      </c>
      <c r="C207" s="6">
        <v>45943.0</v>
      </c>
      <c r="D207" s="1" t="s">
        <v>117</v>
      </c>
    </row>
    <row r="208" ht="14.25" customHeight="1">
      <c r="A208" s="1" t="s">
        <v>144</v>
      </c>
      <c r="B208" s="1" t="s">
        <v>183</v>
      </c>
      <c r="C208" s="6">
        <v>45943.0</v>
      </c>
      <c r="D208" s="1" t="s">
        <v>119</v>
      </c>
    </row>
    <row r="209" ht="14.25" customHeight="1">
      <c r="A209" s="1" t="s">
        <v>144</v>
      </c>
      <c r="C209" s="6">
        <v>45943.0</v>
      </c>
      <c r="D209" s="1" t="s">
        <v>121</v>
      </c>
    </row>
    <row r="210" ht="14.25" customHeight="1">
      <c r="A210" s="1" t="s">
        <v>144</v>
      </c>
      <c r="B210" s="1" t="s">
        <v>184</v>
      </c>
      <c r="C210" s="6">
        <v>45954.0</v>
      </c>
      <c r="D210" s="1" t="s">
        <v>114</v>
      </c>
    </row>
    <row r="211" ht="14.25" customHeight="1">
      <c r="A211" s="1" t="s">
        <v>144</v>
      </c>
      <c r="C211" s="6">
        <v>45954.0</v>
      </c>
      <c r="D211" s="1" t="s">
        <v>117</v>
      </c>
    </row>
    <row r="212" ht="14.25" customHeight="1">
      <c r="A212" s="1" t="s">
        <v>144</v>
      </c>
      <c r="B212" s="1" t="s">
        <v>185</v>
      </c>
      <c r="C212" s="6">
        <v>45954.0</v>
      </c>
      <c r="D212" s="1" t="s">
        <v>119</v>
      </c>
    </row>
    <row r="213" ht="14.25" customHeight="1">
      <c r="A213" s="1" t="s">
        <v>144</v>
      </c>
      <c r="C213" s="6">
        <v>45954.0</v>
      </c>
      <c r="D213" s="1" t="s">
        <v>121</v>
      </c>
    </row>
    <row r="214" ht="14.25" customHeight="1">
      <c r="B214" s="1" t="s">
        <v>186</v>
      </c>
    </row>
    <row r="215" ht="14.25" customHeight="1"/>
    <row r="216" ht="14.25" customHeight="1">
      <c r="B216" s="1" t="s">
        <v>187</v>
      </c>
    </row>
    <row r="217" ht="14.25" customHeight="1"/>
    <row r="218" ht="14.25" customHeight="1">
      <c r="B218" s="1" t="s">
        <v>188</v>
      </c>
    </row>
    <row r="219" ht="14.25" customHeight="1"/>
    <row r="220" ht="14.25" customHeight="1">
      <c r="B220" s="1" t="s">
        <v>189</v>
      </c>
    </row>
    <row r="221" ht="14.25" customHeight="1"/>
    <row r="222" ht="14.25" customHeight="1">
      <c r="B222" s="1" t="s">
        <v>190</v>
      </c>
    </row>
    <row r="223" ht="14.25" customHeight="1"/>
    <row r="224" ht="14.25" customHeight="1">
      <c r="B224" s="1" t="s">
        <v>191</v>
      </c>
    </row>
    <row r="225" ht="14.25" customHeight="1"/>
    <row r="226" ht="14.25" customHeight="1">
      <c r="B226" s="1" t="s">
        <v>192</v>
      </c>
    </row>
    <row r="227" ht="14.25" customHeight="1"/>
    <row r="228" ht="14.25" customHeight="1">
      <c r="B228" s="1" t="s">
        <v>193</v>
      </c>
    </row>
    <row r="229" ht="14.25" customHeight="1"/>
    <row r="230" ht="14.25" customHeight="1">
      <c r="B230" s="1" t="s">
        <v>194</v>
      </c>
    </row>
    <row r="231" ht="14.25" customHeight="1"/>
    <row r="232" ht="14.25" customHeight="1">
      <c r="B232" s="1" t="s">
        <v>195</v>
      </c>
    </row>
    <row r="233" ht="14.25" customHeight="1"/>
    <row r="234" ht="14.25" customHeight="1">
      <c r="B234" s="1" t="s">
        <v>196</v>
      </c>
    </row>
    <row r="235" ht="14.25" customHeight="1"/>
    <row r="236" ht="14.25" customHeight="1">
      <c r="B236" s="1" t="s">
        <v>197</v>
      </c>
    </row>
    <row r="237" ht="14.25" customHeight="1"/>
    <row r="238" ht="14.25" customHeight="1">
      <c r="B238" s="1" t="s">
        <v>198</v>
      </c>
    </row>
    <row r="239" ht="14.25" customHeight="1"/>
    <row r="240" ht="14.25" customHeight="1">
      <c r="B240" s="1" t="s">
        <v>199</v>
      </c>
    </row>
    <row r="241" ht="14.25" customHeight="1"/>
    <row r="242" ht="14.25" customHeight="1">
      <c r="B242" s="1" t="s">
        <v>200</v>
      </c>
    </row>
    <row r="243" ht="14.25" customHeight="1"/>
    <row r="244" ht="14.25" customHeight="1">
      <c r="B244" s="1" t="s">
        <v>201</v>
      </c>
    </row>
    <row r="245" ht="14.25" customHeight="1"/>
    <row r="246" ht="14.25" customHeight="1">
      <c r="B246" s="1" t="s">
        <v>202</v>
      </c>
    </row>
    <row r="247" ht="14.25" customHeight="1"/>
    <row r="248" ht="14.25" customHeight="1">
      <c r="B248" s="1" t="s">
        <v>203</v>
      </c>
    </row>
    <row r="249" ht="14.25" customHeight="1"/>
    <row r="250" ht="14.25" customHeight="1">
      <c r="B250" s="1" t="s">
        <v>204</v>
      </c>
    </row>
    <row r="251" ht="14.25" customHeight="1"/>
    <row r="252" ht="14.25" customHeight="1">
      <c r="B252" s="1" t="s">
        <v>205</v>
      </c>
    </row>
    <row r="253" ht="14.25" customHeight="1"/>
    <row r="254" ht="14.25" customHeight="1">
      <c r="B254" s="1" t="s">
        <v>206</v>
      </c>
    </row>
    <row r="255" ht="14.25" customHeight="1"/>
    <row r="256" ht="14.25" customHeight="1">
      <c r="B256" s="1" t="s">
        <v>207</v>
      </c>
    </row>
    <row r="257" ht="14.25" customHeight="1"/>
    <row r="258" ht="14.25" customHeight="1">
      <c r="B258" s="1" t="s">
        <v>208</v>
      </c>
    </row>
    <row r="259" ht="14.25" customHeight="1"/>
    <row r="260" ht="14.25" customHeight="1">
      <c r="B260" s="1" t="s">
        <v>209</v>
      </c>
    </row>
    <row r="261" ht="14.25" customHeight="1"/>
    <row r="262" ht="14.25" customHeight="1">
      <c r="B262" s="1" t="s">
        <v>210</v>
      </c>
    </row>
    <row r="263" ht="14.25" customHeight="1"/>
    <row r="264" ht="14.25" customHeight="1">
      <c r="B264" s="1" t="s">
        <v>211</v>
      </c>
    </row>
    <row r="265" ht="14.25" customHeight="1"/>
    <row r="266" ht="14.25" customHeight="1">
      <c r="B266" s="1" t="s">
        <v>212</v>
      </c>
    </row>
    <row r="267" ht="14.25" customHeight="1"/>
    <row r="268" ht="14.25" customHeight="1">
      <c r="B268" s="1" t="s">
        <v>213</v>
      </c>
    </row>
    <row r="269" ht="14.25" customHeight="1"/>
    <row r="270" ht="14.25" customHeight="1">
      <c r="B270" s="1" t="s">
        <v>214</v>
      </c>
    </row>
    <row r="271" ht="14.25" customHeight="1"/>
    <row r="272" ht="14.25" customHeight="1">
      <c r="B272" s="1" t="s">
        <v>215</v>
      </c>
    </row>
    <row r="273" ht="14.25" customHeight="1"/>
    <row r="274" ht="14.25" customHeight="1">
      <c r="B274" s="23" t="s">
        <v>216</v>
      </c>
    </row>
    <row r="275" ht="14.25" customHeight="1"/>
    <row r="276" ht="14.25" customHeight="1">
      <c r="B276" s="1" t="s">
        <v>217</v>
      </c>
    </row>
    <row r="277" ht="14.25" customHeight="1"/>
    <row r="278" ht="14.25" customHeight="1">
      <c r="B278" s="1" t="s">
        <v>219</v>
      </c>
    </row>
    <row r="279" ht="14.25" customHeight="1"/>
    <row r="280" ht="14.25" customHeight="1">
      <c r="B280" s="1" t="s">
        <v>220</v>
      </c>
    </row>
    <row r="281" ht="14.25" customHeight="1"/>
    <row r="282" ht="14.25" customHeight="1">
      <c r="B282" s="1" t="s">
        <v>221</v>
      </c>
    </row>
    <row r="283" ht="14.25" customHeight="1"/>
    <row r="284" ht="14.25" customHeight="1">
      <c r="B284" s="1" t="s">
        <v>222</v>
      </c>
    </row>
    <row r="285" ht="14.25" customHeight="1"/>
    <row r="286" ht="14.25" customHeight="1">
      <c r="B286" s="1" t="s">
        <v>223</v>
      </c>
    </row>
    <row r="287" ht="14.25" customHeight="1"/>
    <row r="288" ht="14.25" customHeight="1">
      <c r="B288" s="1" t="s">
        <v>224</v>
      </c>
    </row>
    <row r="289" ht="14.25" customHeight="1"/>
    <row r="290" ht="14.25" customHeight="1">
      <c r="B290" s="1" t="s">
        <v>225</v>
      </c>
    </row>
    <row r="291" ht="14.25" customHeight="1"/>
    <row r="292" ht="14.25" customHeight="1">
      <c r="B292" s="1" t="s">
        <v>226</v>
      </c>
    </row>
    <row r="293" ht="14.25" customHeight="1"/>
    <row r="294" ht="14.25" customHeight="1">
      <c r="B294" s="1" t="s">
        <v>227</v>
      </c>
    </row>
    <row r="295" ht="14.25" customHeight="1"/>
    <row r="296" ht="14.25" customHeight="1">
      <c r="B296" s="1" t="s">
        <v>229</v>
      </c>
    </row>
    <row r="297" ht="14.25" customHeight="1"/>
    <row r="298" ht="14.25" customHeight="1">
      <c r="B298" s="1" t="s">
        <v>230</v>
      </c>
    </row>
    <row r="299" ht="14.25" customHeight="1"/>
    <row r="300" ht="14.25" customHeight="1">
      <c r="B300" s="1" t="s">
        <v>231</v>
      </c>
    </row>
    <row r="301" ht="14.25" customHeight="1"/>
    <row r="302" ht="14.25" customHeight="1">
      <c r="B302" s="1" t="s">
        <v>232</v>
      </c>
    </row>
    <row r="303" ht="14.25" customHeight="1"/>
    <row r="304" ht="14.25" customHeight="1">
      <c r="B304" s="1" t="s">
        <v>233</v>
      </c>
    </row>
    <row r="305" ht="14.25" customHeight="1"/>
    <row r="306" ht="14.25" customHeight="1">
      <c r="B306" s="1" t="s">
        <v>234</v>
      </c>
    </row>
    <row r="307" ht="14.25" customHeight="1"/>
    <row r="308" ht="14.25" customHeight="1">
      <c r="B308" s="1" t="s">
        <v>235</v>
      </c>
    </row>
    <row r="309" ht="14.25" customHeight="1"/>
    <row r="310" ht="14.25" customHeight="1">
      <c r="B310" s="1" t="s">
        <v>236</v>
      </c>
    </row>
    <row r="311" ht="14.25" customHeight="1"/>
    <row r="312" ht="14.25" customHeight="1">
      <c r="B312" s="1" t="s">
        <v>238</v>
      </c>
    </row>
    <row r="313" ht="14.25" customHeight="1"/>
    <row r="314" ht="14.25" customHeight="1">
      <c r="B314" s="1" t="s">
        <v>240</v>
      </c>
    </row>
    <row r="315" ht="14.25" customHeight="1"/>
    <row r="316" ht="14.25" customHeight="1">
      <c r="B316" s="1" t="s">
        <v>241</v>
      </c>
    </row>
    <row r="317" ht="14.25" customHeight="1"/>
    <row r="318" ht="14.25" customHeight="1">
      <c r="B318" s="1" t="s">
        <v>242</v>
      </c>
    </row>
    <row r="319" ht="14.25" customHeight="1"/>
    <row r="320" ht="14.25" customHeight="1">
      <c r="B320" s="1" t="s">
        <v>243</v>
      </c>
    </row>
    <row r="321" ht="14.25" customHeight="1"/>
    <row r="322" ht="14.25" customHeight="1">
      <c r="B322" s="1" t="s">
        <v>244</v>
      </c>
    </row>
    <row r="323" ht="14.25" customHeight="1"/>
    <row r="324" ht="14.25" customHeight="1">
      <c r="B324" s="1" t="s">
        <v>245</v>
      </c>
    </row>
    <row r="325" ht="14.25" customHeight="1"/>
    <row r="326" ht="14.25" customHeight="1">
      <c r="B326" s="1" t="s">
        <v>246</v>
      </c>
    </row>
    <row r="327" ht="14.25" customHeight="1"/>
    <row r="328" ht="14.25" customHeight="1">
      <c r="B328" s="1" t="s">
        <v>247</v>
      </c>
    </row>
    <row r="329" ht="14.25" customHeight="1"/>
    <row r="330" ht="14.25" customHeight="1">
      <c r="B330" s="1" t="s">
        <v>248</v>
      </c>
    </row>
    <row r="331" ht="14.25" customHeight="1"/>
    <row r="332" ht="14.25" customHeight="1">
      <c r="B332" s="1" t="s">
        <v>249</v>
      </c>
    </row>
    <row r="333" ht="14.25" customHeight="1"/>
    <row r="334" ht="14.25" customHeight="1">
      <c r="B334" s="1" t="s">
        <v>250</v>
      </c>
    </row>
    <row r="335" ht="14.25" customHeight="1"/>
    <row r="336" ht="14.25" customHeight="1">
      <c r="B336" s="1" t="s">
        <v>251</v>
      </c>
    </row>
    <row r="337" ht="14.25" customHeight="1"/>
    <row r="338" ht="14.25" customHeight="1">
      <c r="B338" s="1" t="s">
        <v>252</v>
      </c>
    </row>
    <row r="339" ht="14.25" customHeight="1"/>
    <row r="340" ht="14.25" customHeight="1">
      <c r="B340" s="1" t="s">
        <v>253</v>
      </c>
    </row>
    <row r="341" ht="14.25" customHeight="1"/>
    <row r="342" ht="14.25" customHeight="1">
      <c r="B342" s="1" t="s">
        <v>254</v>
      </c>
    </row>
    <row r="343" ht="14.25" customHeight="1"/>
    <row r="344" ht="14.25" customHeight="1">
      <c r="B344" s="1" t="s">
        <v>255</v>
      </c>
    </row>
    <row r="345" ht="14.25" customHeight="1"/>
    <row r="346" ht="14.25" customHeight="1">
      <c r="B346" s="1" t="s">
        <v>256</v>
      </c>
    </row>
    <row r="347" ht="14.25" customHeight="1"/>
    <row r="348" ht="14.25" customHeight="1">
      <c r="B348" s="1" t="s">
        <v>257</v>
      </c>
    </row>
    <row r="349" ht="14.25" customHeight="1"/>
    <row r="350" ht="14.25" customHeight="1">
      <c r="B350" s="1" t="s">
        <v>258</v>
      </c>
    </row>
    <row r="351" ht="14.25" customHeight="1"/>
    <row r="352" ht="14.25" customHeight="1">
      <c r="B352" s="1" t="s">
        <v>259</v>
      </c>
    </row>
    <row r="353" ht="14.25" customHeight="1"/>
    <row r="354" ht="14.25" customHeight="1">
      <c r="B354" s="1" t="s">
        <v>260</v>
      </c>
    </row>
    <row r="355" ht="14.25" customHeight="1"/>
    <row r="356" ht="14.25" customHeight="1">
      <c r="B356" s="1" t="s">
        <v>261</v>
      </c>
    </row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2025-12-01T21:17:27Z</dcterms:created>
  <dc:creator>Oriyo, Katherine</dc:creator>
</cp:coreProperties>
</file>