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ryansw\Desktop\RSW files\2. Sandusky Bay\2023\Toxins\"/>
    </mc:Choice>
  </mc:AlternateContent>
  <xr:revisionPtr revIDLastSave="0" documentId="13_ncr:1_{7391274A-AA33-4305-B357-A40B042BEBBD}" xr6:coauthVersionLast="47" xr6:coauthVersionMax="47" xr10:uidLastSave="{00000000-0000-0000-0000-000000000000}"/>
  <bookViews>
    <workbookView xWindow="-108" yWindow="-108" windowWidth="23256" windowHeight="12576" tabRatio="577" activeTab="2" xr2:uid="{00000000-000D-0000-FFFF-FFFF00000000}"/>
  </bookViews>
  <sheets>
    <sheet name="Absorbances" sheetId="10" r:id="rId1"/>
    <sheet name="6 Standards" sheetId="3" r:id="rId2"/>
    <sheet name="Condensed" sheetId="8" r:id="rId3"/>
    <sheet name="SB Site list" sheetId="9" r:id="rId4"/>
  </sheets>
  <definedNames>
    <definedName name="solver_adj" localSheetId="1" hidden="1">'6 Standards'!$C$30:$C$33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'6 Standards'!$E$27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1" i="3" l="1"/>
  <c r="B120" i="3"/>
  <c r="B84" i="8" s="1"/>
  <c r="B119" i="3"/>
  <c r="B83" i="8" s="1"/>
  <c r="B118" i="3"/>
  <c r="B82" i="8" s="1"/>
  <c r="B117" i="3"/>
  <c r="B81" i="8" s="1"/>
  <c r="B116" i="3"/>
  <c r="B80" i="8" s="1"/>
  <c r="B115" i="3"/>
  <c r="B79" i="8" s="1"/>
  <c r="B114" i="3"/>
  <c r="B78" i="8" s="1"/>
  <c r="B113" i="3"/>
  <c r="B77" i="8" s="1"/>
  <c r="B112" i="3"/>
  <c r="B76" i="8" s="1"/>
  <c r="B111" i="3"/>
  <c r="B75" i="8" s="1"/>
  <c r="B110" i="3"/>
  <c r="B74" i="8" s="1"/>
  <c r="B109" i="3"/>
  <c r="B108" i="3"/>
  <c r="B107" i="3"/>
  <c r="B106" i="3"/>
  <c r="B70" i="8" s="1"/>
  <c r="B105" i="3"/>
  <c r="B69" i="8" s="1"/>
  <c r="B104" i="3"/>
  <c r="B103" i="3"/>
  <c r="B102" i="3"/>
  <c r="B101" i="3"/>
  <c r="B65" i="8" s="1"/>
  <c r="B100" i="3"/>
  <c r="B99" i="3"/>
  <c r="B98" i="3"/>
  <c r="B62" i="8" s="1"/>
  <c r="B97" i="3"/>
  <c r="B96" i="3"/>
  <c r="B95" i="3"/>
  <c r="B94" i="3"/>
  <c r="B93" i="3"/>
  <c r="B92" i="3"/>
  <c r="B91" i="3"/>
  <c r="B55" i="8" s="1"/>
  <c r="B90" i="3"/>
  <c r="B54" i="8" s="1"/>
  <c r="B89" i="3"/>
  <c r="B53" i="8" s="1"/>
  <c r="B88" i="3"/>
  <c r="B52" i="8" s="1"/>
  <c r="B87" i="3"/>
  <c r="B51" i="8" s="1"/>
  <c r="B86" i="3"/>
  <c r="B50" i="8" s="1"/>
  <c r="B85" i="3"/>
  <c r="B84" i="3"/>
  <c r="B83" i="3"/>
  <c r="B47" i="8" s="1"/>
  <c r="B82" i="3"/>
  <c r="B81" i="3"/>
  <c r="B80" i="3"/>
  <c r="B79" i="3"/>
  <c r="B78" i="3"/>
  <c r="B77" i="3"/>
  <c r="B41" i="8" s="1"/>
  <c r="B76" i="3"/>
  <c r="B40" i="8" s="1"/>
  <c r="B75" i="3"/>
  <c r="B39" i="8" s="1"/>
  <c r="B74" i="3"/>
  <c r="B38" i="8" s="1"/>
  <c r="B73" i="3"/>
  <c r="B72" i="3"/>
  <c r="B71" i="3"/>
  <c r="B70" i="3"/>
  <c r="B69" i="3"/>
  <c r="B68" i="3"/>
  <c r="B32" i="8" s="1"/>
  <c r="B67" i="3"/>
  <c r="B31" i="8" s="1"/>
  <c r="B66" i="3"/>
  <c r="B30" i="8" s="1"/>
  <c r="B65" i="3"/>
  <c r="B29" i="8" s="1"/>
  <c r="B64" i="3"/>
  <c r="B28" i="8" s="1"/>
  <c r="B63" i="3"/>
  <c r="B27" i="8" s="1"/>
  <c r="B62" i="3"/>
  <c r="B26" i="8" s="1"/>
  <c r="B61" i="3"/>
  <c r="B60" i="3"/>
  <c r="B59" i="3"/>
  <c r="B58" i="3"/>
  <c r="B57" i="3"/>
  <c r="B56" i="3"/>
  <c r="B55" i="3"/>
  <c r="B54" i="3"/>
  <c r="B18" i="8" s="1"/>
  <c r="B53" i="3"/>
  <c r="B17" i="8" s="1"/>
  <c r="B52" i="3"/>
  <c r="B16" i="8" s="1"/>
  <c r="B51" i="3"/>
  <c r="B15" i="8" s="1"/>
  <c r="B50" i="3"/>
  <c r="B14" i="8" s="1"/>
  <c r="B49" i="3"/>
  <c r="B48" i="3"/>
  <c r="B47" i="3"/>
  <c r="B46" i="3"/>
  <c r="B45" i="3"/>
  <c r="B9" i="8" s="1"/>
  <c r="B44" i="3"/>
  <c r="B43" i="3"/>
  <c r="B7" i="8" s="1"/>
  <c r="B42" i="3"/>
  <c r="B6" i="8" s="1"/>
  <c r="B41" i="3"/>
  <c r="B5" i="8" s="1"/>
  <c r="B40" i="3"/>
  <c r="B4" i="8" s="1"/>
  <c r="B39" i="3"/>
  <c r="B3" i="8" s="1"/>
  <c r="B38" i="3"/>
  <c r="B66" i="8"/>
  <c r="B46" i="8"/>
  <c r="B45" i="8"/>
  <c r="B44" i="8"/>
  <c r="B43" i="8"/>
  <c r="B42" i="8"/>
  <c r="B23" i="8"/>
  <c r="B22" i="8"/>
  <c r="B21" i="8"/>
  <c r="B20" i="8"/>
  <c r="B19" i="8"/>
  <c r="B10" i="8"/>
  <c r="B68" i="8"/>
  <c r="B67" i="8"/>
  <c r="B64" i="8"/>
  <c r="B63" i="8"/>
  <c r="B2" i="8"/>
  <c r="B72" i="8"/>
  <c r="B71" i="8"/>
  <c r="B60" i="8"/>
  <c r="B59" i="8"/>
  <c r="B48" i="8"/>
  <c r="B36" i="8"/>
  <c r="B35" i="8"/>
  <c r="B24" i="8"/>
  <c r="B12" i="8"/>
  <c r="B11" i="8"/>
  <c r="G7" i="3"/>
  <c r="G6" i="3"/>
  <c r="F7" i="3"/>
  <c r="F6" i="3"/>
  <c r="E7" i="3"/>
  <c r="E6" i="3"/>
  <c r="D7" i="3"/>
  <c r="D6" i="3"/>
  <c r="C7" i="3"/>
  <c r="C6" i="3"/>
  <c r="B7" i="3"/>
  <c r="B6" i="3"/>
  <c r="J3" i="8"/>
  <c r="J5" i="8"/>
  <c r="J7" i="8"/>
  <c r="J9" i="8"/>
  <c r="J11" i="8"/>
  <c r="J13" i="8"/>
  <c r="J15" i="8"/>
  <c r="J17" i="8"/>
  <c r="J19" i="8"/>
  <c r="J21" i="8"/>
  <c r="J23" i="8"/>
  <c r="J25" i="8"/>
  <c r="J27" i="8"/>
  <c r="J29" i="8"/>
  <c r="J31" i="8"/>
  <c r="J33" i="8"/>
  <c r="J35" i="8"/>
  <c r="J37" i="8"/>
  <c r="J39" i="8"/>
  <c r="J41" i="8"/>
  <c r="J43" i="8"/>
  <c r="J45" i="8"/>
  <c r="J47" i="8"/>
  <c r="J49" i="8"/>
  <c r="J51" i="8"/>
  <c r="J53" i="8"/>
  <c r="J55" i="8"/>
  <c r="J57" i="8"/>
  <c r="J59" i="8"/>
  <c r="J61" i="8"/>
  <c r="J63" i="8"/>
  <c r="J65" i="8"/>
  <c r="J67" i="8"/>
  <c r="J69" i="8"/>
  <c r="J71" i="8"/>
  <c r="J73" i="8"/>
  <c r="J75" i="8"/>
  <c r="J77" i="8"/>
  <c r="J79" i="8"/>
  <c r="J81" i="8"/>
  <c r="J83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" i="8"/>
  <c r="E39" i="3"/>
  <c r="H39" i="3" s="1"/>
  <c r="F3" i="8" s="1"/>
  <c r="H3" i="8" s="1"/>
  <c r="E38" i="3"/>
  <c r="H38" i="3" s="1"/>
  <c r="F2" i="8" s="1"/>
  <c r="H2" i="8" s="1"/>
  <c r="E115" i="3"/>
  <c r="E116" i="3"/>
  <c r="E117" i="3"/>
  <c r="E118" i="3"/>
  <c r="E119" i="3"/>
  <c r="E120" i="3"/>
  <c r="E121" i="3"/>
  <c r="H121" i="3" s="1"/>
  <c r="F85" i="8" s="1"/>
  <c r="H85" i="8" s="1"/>
  <c r="K122" i="3"/>
  <c r="E114" i="3"/>
  <c r="E107" i="3"/>
  <c r="E108" i="3"/>
  <c r="E109" i="3"/>
  <c r="E110" i="3"/>
  <c r="E111" i="3"/>
  <c r="E112" i="3"/>
  <c r="E113" i="3"/>
  <c r="E106" i="3"/>
  <c r="E99" i="3"/>
  <c r="E100" i="3"/>
  <c r="E101" i="3"/>
  <c r="E102" i="3"/>
  <c r="E103" i="3"/>
  <c r="E104" i="3"/>
  <c r="E105" i="3"/>
  <c r="E98" i="3"/>
  <c r="E91" i="3"/>
  <c r="E92" i="3"/>
  <c r="E93" i="3"/>
  <c r="E94" i="3"/>
  <c r="E95" i="3"/>
  <c r="E96" i="3"/>
  <c r="E97" i="3"/>
  <c r="E90" i="3"/>
  <c r="E83" i="3"/>
  <c r="E84" i="3"/>
  <c r="E85" i="3"/>
  <c r="E86" i="3"/>
  <c r="E87" i="3"/>
  <c r="E88" i="3"/>
  <c r="E89" i="3"/>
  <c r="E82" i="3"/>
  <c r="E75" i="3"/>
  <c r="E76" i="3"/>
  <c r="E77" i="3"/>
  <c r="E78" i="3"/>
  <c r="E79" i="3"/>
  <c r="E80" i="3"/>
  <c r="E81" i="3"/>
  <c r="E74" i="3"/>
  <c r="E67" i="3"/>
  <c r="E68" i="3"/>
  <c r="E69" i="3"/>
  <c r="E70" i="3"/>
  <c r="E71" i="3"/>
  <c r="E72" i="3"/>
  <c r="E73" i="3"/>
  <c r="E66" i="3"/>
  <c r="E65" i="3"/>
  <c r="E59" i="3"/>
  <c r="E60" i="3"/>
  <c r="E61" i="3"/>
  <c r="E62" i="3"/>
  <c r="E63" i="3"/>
  <c r="E64" i="3"/>
  <c r="E58" i="3"/>
  <c r="E51" i="3"/>
  <c r="E52" i="3"/>
  <c r="E53" i="3"/>
  <c r="E54" i="3"/>
  <c r="E55" i="3"/>
  <c r="E56" i="3"/>
  <c r="E57" i="3"/>
  <c r="E50" i="3"/>
  <c r="E44" i="3"/>
  <c r="E45" i="3"/>
  <c r="E46" i="3"/>
  <c r="E47" i="3"/>
  <c r="E48" i="3"/>
  <c r="E49" i="3"/>
  <c r="E43" i="3"/>
  <c r="E42" i="3"/>
  <c r="K144" i="3"/>
  <c r="K140" i="3"/>
  <c r="K138" i="3"/>
  <c r="K136" i="3"/>
  <c r="K134" i="3"/>
  <c r="H97" i="3"/>
  <c r="F61" i="8" s="1"/>
  <c r="H61" i="8" s="1"/>
  <c r="K124" i="3"/>
  <c r="K128" i="3"/>
  <c r="K132" i="3"/>
  <c r="E40" i="3"/>
  <c r="E41" i="3"/>
  <c r="B8" i="8"/>
  <c r="B13" i="8"/>
  <c r="B25" i="8"/>
  <c r="B33" i="8"/>
  <c r="B34" i="8"/>
  <c r="B37" i="8"/>
  <c r="B49" i="8"/>
  <c r="B56" i="8"/>
  <c r="B57" i="8"/>
  <c r="B58" i="8"/>
  <c r="B61" i="8"/>
  <c r="B73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C6" i="8"/>
  <c r="D6" i="8"/>
  <c r="C7" i="8"/>
  <c r="D7" i="8"/>
  <c r="C8" i="8"/>
  <c r="D8" i="8"/>
  <c r="C9" i="8"/>
  <c r="D9" i="8"/>
  <c r="C10" i="8"/>
  <c r="D10" i="8"/>
  <c r="C11" i="8"/>
  <c r="D11" i="8"/>
  <c r="C12" i="8"/>
  <c r="D12" i="8"/>
  <c r="C13" i="8"/>
  <c r="D13" i="8"/>
  <c r="C14" i="8"/>
  <c r="D14" i="8"/>
  <c r="C15" i="8"/>
  <c r="D15" i="8"/>
  <c r="C16" i="8"/>
  <c r="D16" i="8"/>
  <c r="C17" i="8"/>
  <c r="D17" i="8"/>
  <c r="C18" i="8"/>
  <c r="D18" i="8"/>
  <c r="C19" i="8"/>
  <c r="D19" i="8"/>
  <c r="C20" i="8"/>
  <c r="D20" i="8"/>
  <c r="C21" i="8"/>
  <c r="D21" i="8"/>
  <c r="C22" i="8"/>
  <c r="D22" i="8"/>
  <c r="C23" i="8"/>
  <c r="D23" i="8"/>
  <c r="C24" i="8"/>
  <c r="D24" i="8"/>
  <c r="C25" i="8"/>
  <c r="D25" i="8"/>
  <c r="C26" i="8"/>
  <c r="D26" i="8"/>
  <c r="C27" i="8"/>
  <c r="D27" i="8"/>
  <c r="C28" i="8"/>
  <c r="D28" i="8"/>
  <c r="C29" i="8"/>
  <c r="D29" i="8"/>
  <c r="C30" i="8"/>
  <c r="D30" i="8"/>
  <c r="C31" i="8"/>
  <c r="D31" i="8"/>
  <c r="C32" i="8"/>
  <c r="D32" i="8"/>
  <c r="C33" i="8"/>
  <c r="D33" i="8"/>
  <c r="C34" i="8"/>
  <c r="D34" i="8"/>
  <c r="C35" i="8"/>
  <c r="D35" i="8"/>
  <c r="C36" i="8"/>
  <c r="D36" i="8"/>
  <c r="C37" i="8"/>
  <c r="D37" i="8"/>
  <c r="C38" i="8"/>
  <c r="D38" i="8"/>
  <c r="C39" i="8"/>
  <c r="D39" i="8"/>
  <c r="C40" i="8"/>
  <c r="D40" i="8"/>
  <c r="C41" i="8"/>
  <c r="D41" i="8"/>
  <c r="C42" i="8"/>
  <c r="D42" i="8"/>
  <c r="C43" i="8"/>
  <c r="D43" i="8"/>
  <c r="C44" i="8"/>
  <c r="D44" i="8"/>
  <c r="C45" i="8"/>
  <c r="D45" i="8"/>
  <c r="C46" i="8"/>
  <c r="D46" i="8"/>
  <c r="C47" i="8"/>
  <c r="D47" i="8"/>
  <c r="C48" i="8"/>
  <c r="D48" i="8"/>
  <c r="C49" i="8"/>
  <c r="D49" i="8"/>
  <c r="C50" i="8"/>
  <c r="D50" i="8"/>
  <c r="C51" i="8"/>
  <c r="D51" i="8"/>
  <c r="C52" i="8"/>
  <c r="D52" i="8"/>
  <c r="C53" i="8"/>
  <c r="D53" i="8"/>
  <c r="C54" i="8"/>
  <c r="D54" i="8"/>
  <c r="C55" i="8"/>
  <c r="D55" i="8"/>
  <c r="C56" i="8"/>
  <c r="D56" i="8"/>
  <c r="C57" i="8"/>
  <c r="D57" i="8"/>
  <c r="C58" i="8"/>
  <c r="D58" i="8"/>
  <c r="C59" i="8"/>
  <c r="D59" i="8"/>
  <c r="C60" i="8"/>
  <c r="D60" i="8"/>
  <c r="C61" i="8"/>
  <c r="D61" i="8"/>
  <c r="C62" i="8"/>
  <c r="D62" i="8"/>
  <c r="C63" i="8"/>
  <c r="D63" i="8"/>
  <c r="C64" i="8"/>
  <c r="D64" i="8"/>
  <c r="C65" i="8"/>
  <c r="D65" i="8"/>
  <c r="C66" i="8"/>
  <c r="D66" i="8"/>
  <c r="C67" i="8"/>
  <c r="D67" i="8"/>
  <c r="C68" i="8"/>
  <c r="D68" i="8"/>
  <c r="C69" i="8"/>
  <c r="D69" i="8"/>
  <c r="C70" i="8"/>
  <c r="D70" i="8"/>
  <c r="C71" i="8"/>
  <c r="D71" i="8"/>
  <c r="C72" i="8"/>
  <c r="D72" i="8"/>
  <c r="C73" i="8"/>
  <c r="D73" i="8"/>
  <c r="C74" i="8"/>
  <c r="D74" i="8"/>
  <c r="C75" i="8"/>
  <c r="D75" i="8"/>
  <c r="C76" i="8"/>
  <c r="D76" i="8"/>
  <c r="C77" i="8"/>
  <c r="D77" i="8"/>
  <c r="C78" i="8"/>
  <c r="D78" i="8"/>
  <c r="C79" i="8"/>
  <c r="D79" i="8"/>
  <c r="C80" i="8"/>
  <c r="D80" i="8"/>
  <c r="C81" i="8"/>
  <c r="D81" i="8"/>
  <c r="C82" i="8"/>
  <c r="D82" i="8"/>
  <c r="C83" i="8"/>
  <c r="D83" i="8"/>
  <c r="C84" i="8"/>
  <c r="D84" i="8"/>
  <c r="C85" i="8"/>
  <c r="D85" i="8"/>
  <c r="C86" i="8"/>
  <c r="D86" i="8"/>
  <c r="C87" i="8"/>
  <c r="D87" i="8"/>
  <c r="C88" i="8"/>
  <c r="D88" i="8"/>
  <c r="C89" i="8"/>
  <c r="D89" i="8"/>
  <c r="C90" i="8"/>
  <c r="D90" i="8"/>
  <c r="C91" i="8"/>
  <c r="D91" i="8"/>
  <c r="C92" i="8"/>
  <c r="D92" i="8"/>
  <c r="C93" i="8"/>
  <c r="D93" i="8"/>
  <c r="C94" i="8"/>
  <c r="D94" i="8"/>
  <c r="C95" i="8"/>
  <c r="D95" i="8"/>
  <c r="C96" i="8"/>
  <c r="D96" i="8"/>
  <c r="C97" i="8"/>
  <c r="D97" i="8"/>
  <c r="C98" i="8"/>
  <c r="D98" i="8"/>
  <c r="C99" i="8"/>
  <c r="D99" i="8"/>
  <c r="C100" i="8"/>
  <c r="D100" i="8"/>
  <c r="C101" i="8"/>
  <c r="D101" i="8"/>
  <c r="C102" i="8"/>
  <c r="D102" i="8"/>
  <c r="C103" i="8"/>
  <c r="D103" i="8"/>
  <c r="C104" i="8"/>
  <c r="D104" i="8"/>
  <c r="C105" i="8"/>
  <c r="D105" i="8"/>
  <c r="C106" i="8"/>
  <c r="D106" i="8"/>
  <c r="C107" i="8"/>
  <c r="D107" i="8"/>
  <c r="C108" i="8"/>
  <c r="D108" i="8"/>
  <c r="C109" i="8"/>
  <c r="D109" i="8"/>
  <c r="D5" i="8"/>
  <c r="C5" i="8"/>
  <c r="D4" i="8"/>
  <c r="C4" i="8"/>
  <c r="D2" i="8"/>
  <c r="D3" i="8"/>
  <c r="C2" i="8"/>
  <c r="C3" i="8"/>
  <c r="H73" i="3"/>
  <c r="F37" i="8" s="1"/>
  <c r="H37" i="8" s="1"/>
  <c r="K126" i="3"/>
  <c r="K130" i="3"/>
  <c r="K142" i="3"/>
  <c r="K120" i="3" l="1"/>
  <c r="J84" i="8" s="1"/>
  <c r="H122" i="3"/>
  <c r="F86" i="8" s="1"/>
  <c r="H86" i="8" s="1"/>
  <c r="I3" i="8"/>
  <c r="C26" i="3"/>
  <c r="C25" i="3"/>
  <c r="C24" i="3"/>
  <c r="C23" i="3"/>
  <c r="C22" i="3"/>
  <c r="C21" i="3"/>
  <c r="H145" i="3" l="1"/>
  <c r="F109" i="8" s="1"/>
  <c r="H109" i="8" s="1"/>
  <c r="F145" i="3"/>
  <c r="G145" i="3" s="1"/>
  <c r="H144" i="3"/>
  <c r="F108" i="8" s="1"/>
  <c r="H108" i="8" s="1"/>
  <c r="I109" i="8" s="1"/>
  <c r="H143" i="3"/>
  <c r="F107" i="8" s="1"/>
  <c r="H107" i="8" s="1"/>
  <c r="F143" i="3"/>
  <c r="G143" i="3" s="1"/>
  <c r="H142" i="3"/>
  <c r="F106" i="8" s="1"/>
  <c r="H106" i="8" s="1"/>
  <c r="I107" i="8" s="1"/>
  <c r="H141" i="3"/>
  <c r="F105" i="8" s="1"/>
  <c r="H105" i="8" s="1"/>
  <c r="F141" i="3"/>
  <c r="G141" i="3" s="1"/>
  <c r="H140" i="3"/>
  <c r="F104" i="8" s="1"/>
  <c r="H104" i="8" s="1"/>
  <c r="I105" i="8" s="1"/>
  <c r="H139" i="3"/>
  <c r="F103" i="8" s="1"/>
  <c r="H103" i="8" s="1"/>
  <c r="F139" i="3"/>
  <c r="G139" i="3" s="1"/>
  <c r="H138" i="3"/>
  <c r="F102" i="8" s="1"/>
  <c r="H102" i="8" s="1"/>
  <c r="H137" i="3"/>
  <c r="F101" i="8" s="1"/>
  <c r="H101" i="8" s="1"/>
  <c r="F137" i="3"/>
  <c r="G137" i="3" s="1"/>
  <c r="H136" i="3"/>
  <c r="F100" i="8" s="1"/>
  <c r="H100" i="8" s="1"/>
  <c r="H135" i="3"/>
  <c r="F99" i="8" s="1"/>
  <c r="H99" i="8" s="1"/>
  <c r="F135" i="3"/>
  <c r="G135" i="3" s="1"/>
  <c r="H134" i="3"/>
  <c r="F98" i="8" s="1"/>
  <c r="H98" i="8" s="1"/>
  <c r="I99" i="8" s="1"/>
  <c r="H133" i="3"/>
  <c r="F97" i="8" s="1"/>
  <c r="H97" i="8" s="1"/>
  <c r="F133" i="3"/>
  <c r="G133" i="3" s="1"/>
  <c r="H132" i="3"/>
  <c r="F96" i="8" s="1"/>
  <c r="H96" i="8" s="1"/>
  <c r="I97" i="8" s="1"/>
  <c r="H131" i="3"/>
  <c r="F95" i="8" s="1"/>
  <c r="H95" i="8" s="1"/>
  <c r="F131" i="3"/>
  <c r="G131" i="3" s="1"/>
  <c r="H130" i="3"/>
  <c r="F94" i="8" s="1"/>
  <c r="H94" i="8" s="1"/>
  <c r="H129" i="3"/>
  <c r="F93" i="8" s="1"/>
  <c r="H93" i="8" s="1"/>
  <c r="F129" i="3"/>
  <c r="G129" i="3" s="1"/>
  <c r="H128" i="3"/>
  <c r="F92" i="8" s="1"/>
  <c r="H92" i="8" s="1"/>
  <c r="H127" i="3"/>
  <c r="F91" i="8" s="1"/>
  <c r="H91" i="8" s="1"/>
  <c r="F127" i="3"/>
  <c r="G127" i="3" s="1"/>
  <c r="H126" i="3"/>
  <c r="F90" i="8" s="1"/>
  <c r="H90" i="8" s="1"/>
  <c r="I91" i="8" s="1"/>
  <c r="H125" i="3"/>
  <c r="F89" i="8" s="1"/>
  <c r="H89" i="8" s="1"/>
  <c r="F125" i="3"/>
  <c r="G125" i="3" s="1"/>
  <c r="H124" i="3"/>
  <c r="F88" i="8" s="1"/>
  <c r="H88" i="8" s="1"/>
  <c r="I89" i="8" s="1"/>
  <c r="H123" i="3"/>
  <c r="F87" i="8" s="1"/>
  <c r="H87" i="8" s="1"/>
  <c r="I87" i="8" s="1"/>
  <c r="F123" i="3"/>
  <c r="G123" i="3" s="1"/>
  <c r="F121" i="3"/>
  <c r="G121" i="3" s="1"/>
  <c r="H120" i="3"/>
  <c r="F84" i="8" s="1"/>
  <c r="H84" i="8" s="1"/>
  <c r="I85" i="8" s="1"/>
  <c r="H119" i="3"/>
  <c r="F83" i="8" s="1"/>
  <c r="H83" i="8" s="1"/>
  <c r="F119" i="3"/>
  <c r="G119" i="3" s="1"/>
  <c r="H118" i="3"/>
  <c r="F82" i="8" s="1"/>
  <c r="H82" i="8" s="1"/>
  <c r="H117" i="3"/>
  <c r="F81" i="8" s="1"/>
  <c r="H81" i="8" s="1"/>
  <c r="F117" i="3"/>
  <c r="G117" i="3" s="1"/>
  <c r="H116" i="3"/>
  <c r="F80" i="8" s="1"/>
  <c r="H80" i="8" s="1"/>
  <c r="I81" i="8" s="1"/>
  <c r="H115" i="3"/>
  <c r="F79" i="8" s="1"/>
  <c r="H79" i="8" s="1"/>
  <c r="F115" i="3"/>
  <c r="G115" i="3" s="1"/>
  <c r="H114" i="3"/>
  <c r="F78" i="8" s="1"/>
  <c r="H78" i="8" s="1"/>
  <c r="H113" i="3"/>
  <c r="F77" i="8" s="1"/>
  <c r="H77" i="8" s="1"/>
  <c r="F113" i="3"/>
  <c r="G113" i="3" s="1"/>
  <c r="H112" i="3"/>
  <c r="F76" i="8" s="1"/>
  <c r="H76" i="8" s="1"/>
  <c r="H111" i="3"/>
  <c r="F75" i="8" s="1"/>
  <c r="H75" i="8" s="1"/>
  <c r="F111" i="3"/>
  <c r="G111" i="3" s="1"/>
  <c r="H110" i="3"/>
  <c r="F74" i="8" s="1"/>
  <c r="H74" i="8" s="1"/>
  <c r="I75" i="8" s="1"/>
  <c r="H109" i="3"/>
  <c r="F73" i="8" s="1"/>
  <c r="H73" i="8" s="1"/>
  <c r="F109" i="3"/>
  <c r="G109" i="3" s="1"/>
  <c r="H108" i="3"/>
  <c r="F72" i="8" s="1"/>
  <c r="H72" i="8" s="1"/>
  <c r="I73" i="8" s="1"/>
  <c r="H107" i="3"/>
  <c r="F71" i="8" s="1"/>
  <c r="H71" i="8" s="1"/>
  <c r="F107" i="3"/>
  <c r="G107" i="3" s="1"/>
  <c r="H106" i="3"/>
  <c r="F70" i="8" s="1"/>
  <c r="H70" i="8" s="1"/>
  <c r="H105" i="3"/>
  <c r="F69" i="8" s="1"/>
  <c r="H69" i="8" s="1"/>
  <c r="F105" i="3"/>
  <c r="G105" i="3" s="1"/>
  <c r="H104" i="3"/>
  <c r="F68" i="8" s="1"/>
  <c r="H68" i="8" s="1"/>
  <c r="H103" i="3"/>
  <c r="F67" i="8" s="1"/>
  <c r="H67" i="8" s="1"/>
  <c r="F103" i="3"/>
  <c r="G103" i="3" s="1"/>
  <c r="H102" i="3"/>
  <c r="F66" i="8" s="1"/>
  <c r="H66" i="8" s="1"/>
  <c r="I67" i="8" s="1"/>
  <c r="H101" i="3"/>
  <c r="F65" i="8" s="1"/>
  <c r="H65" i="8" s="1"/>
  <c r="F101" i="3"/>
  <c r="G101" i="3" s="1"/>
  <c r="H100" i="3"/>
  <c r="F64" i="8" s="1"/>
  <c r="H64" i="8" s="1"/>
  <c r="H99" i="3"/>
  <c r="F63" i="8" s="1"/>
  <c r="H63" i="8" s="1"/>
  <c r="F99" i="3"/>
  <c r="G99" i="3" s="1"/>
  <c r="H98" i="3"/>
  <c r="F62" i="8" s="1"/>
  <c r="H62" i="8" s="1"/>
  <c r="F97" i="3"/>
  <c r="G97" i="3" s="1"/>
  <c r="H96" i="3"/>
  <c r="F60" i="8" s="1"/>
  <c r="H60" i="8" s="1"/>
  <c r="I61" i="8" s="1"/>
  <c r="H95" i="3"/>
  <c r="F59" i="8" s="1"/>
  <c r="H59" i="8" s="1"/>
  <c r="F95" i="3"/>
  <c r="G95" i="3" s="1"/>
  <c r="H94" i="3"/>
  <c r="F58" i="8" s="1"/>
  <c r="H58" i="8" s="1"/>
  <c r="H93" i="3"/>
  <c r="F57" i="8" s="1"/>
  <c r="H57" i="8" s="1"/>
  <c r="F93" i="3"/>
  <c r="G93" i="3" s="1"/>
  <c r="H92" i="3"/>
  <c r="F56" i="8" s="1"/>
  <c r="H56" i="8" s="1"/>
  <c r="H91" i="3"/>
  <c r="F55" i="8" s="1"/>
  <c r="H55" i="8" s="1"/>
  <c r="F91" i="3"/>
  <c r="G91" i="3" s="1"/>
  <c r="H90" i="3"/>
  <c r="F54" i="8" s="1"/>
  <c r="H54" i="8" s="1"/>
  <c r="I55" i="8" s="1"/>
  <c r="H89" i="3"/>
  <c r="F53" i="8" s="1"/>
  <c r="H53" i="8" s="1"/>
  <c r="F89" i="3"/>
  <c r="G89" i="3" s="1"/>
  <c r="H88" i="3"/>
  <c r="F52" i="8" s="1"/>
  <c r="H52" i="8" s="1"/>
  <c r="H87" i="3"/>
  <c r="F51" i="8" s="1"/>
  <c r="H51" i="8" s="1"/>
  <c r="F87" i="3"/>
  <c r="G87" i="3" s="1"/>
  <c r="H86" i="3"/>
  <c r="F50" i="8" s="1"/>
  <c r="H50" i="8" s="1"/>
  <c r="H85" i="3"/>
  <c r="F49" i="8" s="1"/>
  <c r="H49" i="8" s="1"/>
  <c r="F85" i="3"/>
  <c r="G85" i="3" s="1"/>
  <c r="H84" i="3"/>
  <c r="F48" i="8" s="1"/>
  <c r="H48" i="8" s="1"/>
  <c r="I49" i="8" s="1"/>
  <c r="H83" i="3"/>
  <c r="F47" i="8" s="1"/>
  <c r="H47" i="8" s="1"/>
  <c r="F83" i="3"/>
  <c r="G83" i="3" s="1"/>
  <c r="H82" i="3"/>
  <c r="F46" i="8" s="1"/>
  <c r="H46" i="8" s="1"/>
  <c r="I47" i="8" s="1"/>
  <c r="H81" i="3"/>
  <c r="F45" i="8" s="1"/>
  <c r="H45" i="8" s="1"/>
  <c r="F81" i="3"/>
  <c r="G81" i="3" s="1"/>
  <c r="H80" i="3"/>
  <c r="F44" i="8" s="1"/>
  <c r="H44" i="8" s="1"/>
  <c r="H79" i="3"/>
  <c r="F43" i="8" s="1"/>
  <c r="H43" i="8" s="1"/>
  <c r="F79" i="3"/>
  <c r="G79" i="3" s="1"/>
  <c r="H78" i="3"/>
  <c r="F42" i="8" s="1"/>
  <c r="H42" i="8" s="1"/>
  <c r="H77" i="3"/>
  <c r="F41" i="8" s="1"/>
  <c r="H41" i="8" s="1"/>
  <c r="F77" i="3"/>
  <c r="G77" i="3" s="1"/>
  <c r="H76" i="3"/>
  <c r="F40" i="8" s="1"/>
  <c r="H40" i="8" s="1"/>
  <c r="I41" i="8" s="1"/>
  <c r="H75" i="3"/>
  <c r="F39" i="8" s="1"/>
  <c r="H39" i="8" s="1"/>
  <c r="F75" i="3"/>
  <c r="G75" i="3" s="1"/>
  <c r="H74" i="3"/>
  <c r="F38" i="8" s="1"/>
  <c r="H38" i="8" s="1"/>
  <c r="I39" i="8" s="1"/>
  <c r="F73" i="3"/>
  <c r="G73" i="3" s="1"/>
  <c r="H72" i="3"/>
  <c r="F36" i="8" s="1"/>
  <c r="H36" i="8" s="1"/>
  <c r="I37" i="8" s="1"/>
  <c r="H71" i="3"/>
  <c r="F35" i="8" s="1"/>
  <c r="H35" i="8" s="1"/>
  <c r="F71" i="3"/>
  <c r="G71" i="3" s="1"/>
  <c r="H70" i="3"/>
  <c r="F34" i="8" s="1"/>
  <c r="H34" i="8" s="1"/>
  <c r="H69" i="3"/>
  <c r="F33" i="8" s="1"/>
  <c r="H33" i="8" s="1"/>
  <c r="F69" i="3"/>
  <c r="G69" i="3" s="1"/>
  <c r="H68" i="3"/>
  <c r="F32" i="8" s="1"/>
  <c r="H32" i="8" s="1"/>
  <c r="I33" i="8" s="1"/>
  <c r="H67" i="3"/>
  <c r="F31" i="8" s="1"/>
  <c r="H31" i="8" s="1"/>
  <c r="F67" i="3"/>
  <c r="G67" i="3" s="1"/>
  <c r="H66" i="3"/>
  <c r="F30" i="8" s="1"/>
  <c r="H30" i="8" s="1"/>
  <c r="I31" i="8" s="1"/>
  <c r="H65" i="3"/>
  <c r="F29" i="8" s="1"/>
  <c r="H29" i="8" s="1"/>
  <c r="F65" i="3"/>
  <c r="G65" i="3" s="1"/>
  <c r="H64" i="3"/>
  <c r="F28" i="8" s="1"/>
  <c r="H28" i="8" s="1"/>
  <c r="H63" i="3"/>
  <c r="F27" i="8" s="1"/>
  <c r="H27" i="8" s="1"/>
  <c r="F63" i="3"/>
  <c r="G63" i="3" s="1"/>
  <c r="H62" i="3"/>
  <c r="F26" i="8" s="1"/>
  <c r="H26" i="8" s="1"/>
  <c r="H61" i="3"/>
  <c r="F25" i="8" s="1"/>
  <c r="H25" i="8" s="1"/>
  <c r="F61" i="3"/>
  <c r="G61" i="3" s="1"/>
  <c r="H60" i="3"/>
  <c r="F24" i="8" s="1"/>
  <c r="H24" i="8" s="1"/>
  <c r="I25" i="8" s="1"/>
  <c r="H59" i="3"/>
  <c r="F23" i="8" s="1"/>
  <c r="H23" i="8" s="1"/>
  <c r="F59" i="3"/>
  <c r="G59" i="3" s="1"/>
  <c r="H58" i="3"/>
  <c r="F22" i="8" s="1"/>
  <c r="H22" i="8" s="1"/>
  <c r="I23" i="8" s="1"/>
  <c r="H57" i="3"/>
  <c r="F21" i="8" s="1"/>
  <c r="H21" i="8" s="1"/>
  <c r="F57" i="3"/>
  <c r="G57" i="3" s="1"/>
  <c r="H56" i="3"/>
  <c r="F20" i="8" s="1"/>
  <c r="H20" i="8" s="1"/>
  <c r="H55" i="3"/>
  <c r="F19" i="8" s="1"/>
  <c r="H19" i="8" s="1"/>
  <c r="F55" i="3"/>
  <c r="G55" i="3" s="1"/>
  <c r="H54" i="3"/>
  <c r="F18" i="8" s="1"/>
  <c r="H18" i="8" s="1"/>
  <c r="H53" i="3"/>
  <c r="F17" i="8" s="1"/>
  <c r="H17" i="8" s="1"/>
  <c r="F53" i="3"/>
  <c r="G53" i="3" s="1"/>
  <c r="H52" i="3"/>
  <c r="F16" i="8" s="1"/>
  <c r="H16" i="8" s="1"/>
  <c r="H51" i="3"/>
  <c r="F15" i="8" s="1"/>
  <c r="H15" i="8" s="1"/>
  <c r="F51" i="3"/>
  <c r="G51" i="3" s="1"/>
  <c r="H50" i="3"/>
  <c r="F14" i="8" s="1"/>
  <c r="H14" i="8" s="1"/>
  <c r="I15" i="8" s="1"/>
  <c r="H49" i="3"/>
  <c r="F13" i="8" s="1"/>
  <c r="H13" i="8" s="1"/>
  <c r="F49" i="3"/>
  <c r="G49" i="3" s="1"/>
  <c r="H48" i="3"/>
  <c r="F12" i="8" s="1"/>
  <c r="H12" i="8" s="1"/>
  <c r="H47" i="3"/>
  <c r="F11" i="8" s="1"/>
  <c r="H11" i="8" s="1"/>
  <c r="F47" i="3"/>
  <c r="G47" i="3" s="1"/>
  <c r="H46" i="3"/>
  <c r="F10" i="8" s="1"/>
  <c r="H10" i="8" s="1"/>
  <c r="H45" i="3"/>
  <c r="F9" i="8" s="1"/>
  <c r="H9" i="8" s="1"/>
  <c r="F45" i="3"/>
  <c r="G45" i="3" s="1"/>
  <c r="H44" i="3"/>
  <c r="F8" i="8" s="1"/>
  <c r="H8" i="8" s="1"/>
  <c r="H43" i="3"/>
  <c r="F7" i="8" s="1"/>
  <c r="H7" i="8" s="1"/>
  <c r="F43" i="3"/>
  <c r="G43" i="3" s="1"/>
  <c r="H42" i="3"/>
  <c r="F6" i="8" s="1"/>
  <c r="H6" i="8" s="1"/>
  <c r="H41" i="3"/>
  <c r="F5" i="8" s="1"/>
  <c r="H5" i="8" s="1"/>
  <c r="F41" i="3"/>
  <c r="G41" i="3" s="1"/>
  <c r="H40" i="3"/>
  <c r="F4" i="8" s="1"/>
  <c r="H4" i="8" s="1"/>
  <c r="F39" i="3"/>
  <c r="G39" i="3" s="1"/>
  <c r="G26" i="3"/>
  <c r="H26" i="3" s="1"/>
  <c r="D26" i="3"/>
  <c r="F26" i="3"/>
  <c r="G25" i="3"/>
  <c r="H25" i="3" s="1"/>
  <c r="D25" i="3"/>
  <c r="Q24" i="3"/>
  <c r="R24" i="3" s="1"/>
  <c r="G24" i="3"/>
  <c r="H24" i="3" s="1"/>
  <c r="D24" i="3"/>
  <c r="Q23" i="3"/>
  <c r="R23" i="3" s="1"/>
  <c r="G23" i="3"/>
  <c r="D23" i="3"/>
  <c r="G22" i="3"/>
  <c r="D22" i="3"/>
  <c r="G21" i="3"/>
  <c r="D21" i="3"/>
  <c r="I83" i="8" l="1"/>
  <c r="I65" i="8"/>
  <c r="I57" i="8"/>
  <c r="I17" i="8"/>
  <c r="I9" i="8"/>
  <c r="I7" i="8"/>
  <c r="I43" i="8"/>
  <c r="I51" i="8"/>
  <c r="I59" i="8"/>
  <c r="I11" i="8"/>
  <c r="I145" i="3"/>
  <c r="I19" i="8"/>
  <c r="I27" i="8"/>
  <c r="I35" i="8"/>
  <c r="I45" i="8"/>
  <c r="I53" i="8"/>
  <c r="I139" i="3"/>
  <c r="I133" i="3"/>
  <c r="I93" i="8"/>
  <c r="I69" i="8"/>
  <c r="I77" i="8"/>
  <c r="I101" i="8"/>
  <c r="I21" i="8"/>
  <c r="I29" i="8"/>
  <c r="I95" i="8"/>
  <c r="I127" i="3"/>
  <c r="I13" i="8"/>
  <c r="I63" i="8"/>
  <c r="I71" i="8"/>
  <c r="I79" i="8"/>
  <c r="I103" i="8"/>
  <c r="I5" i="8"/>
  <c r="I129" i="3"/>
  <c r="I141" i="3"/>
  <c r="I125" i="3"/>
  <c r="I137" i="3"/>
  <c r="I131" i="3"/>
  <c r="I143" i="3"/>
  <c r="I123" i="3"/>
  <c r="I135" i="3"/>
  <c r="K50" i="3"/>
  <c r="J14" i="8" s="1"/>
  <c r="K74" i="3"/>
  <c r="J38" i="8" s="1"/>
  <c r="K98" i="3"/>
  <c r="J62" i="8" s="1"/>
  <c r="K52" i="3"/>
  <c r="J16" i="8" s="1"/>
  <c r="K54" i="3"/>
  <c r="J18" i="8" s="1"/>
  <c r="K78" i="3"/>
  <c r="J42" i="8" s="1"/>
  <c r="K102" i="3"/>
  <c r="J66" i="8" s="1"/>
  <c r="K82" i="3"/>
  <c r="J46" i="8" s="1"/>
  <c r="K56" i="3"/>
  <c r="J20" i="8" s="1"/>
  <c r="K80" i="3"/>
  <c r="J44" i="8" s="1"/>
  <c r="K104" i="3"/>
  <c r="J68" i="8" s="1"/>
  <c r="K58" i="3"/>
  <c r="J22" i="8" s="1"/>
  <c r="K106" i="3"/>
  <c r="J70" i="8" s="1"/>
  <c r="K60" i="3"/>
  <c r="J24" i="8" s="1"/>
  <c r="K108" i="3"/>
  <c r="J72" i="8" s="1"/>
  <c r="K64" i="3"/>
  <c r="J28" i="8" s="1"/>
  <c r="K88" i="3"/>
  <c r="J52" i="8" s="1"/>
  <c r="K112" i="3"/>
  <c r="J76" i="8" s="1"/>
  <c r="K42" i="3"/>
  <c r="J6" i="8" s="1"/>
  <c r="K66" i="3"/>
  <c r="J30" i="8" s="1"/>
  <c r="K90" i="3"/>
  <c r="J54" i="8" s="1"/>
  <c r="K114" i="3"/>
  <c r="J78" i="8" s="1"/>
  <c r="K72" i="3"/>
  <c r="J36" i="8" s="1"/>
  <c r="K62" i="3"/>
  <c r="J26" i="8" s="1"/>
  <c r="K44" i="3"/>
  <c r="J8" i="8" s="1"/>
  <c r="K68" i="3"/>
  <c r="J32" i="8" s="1"/>
  <c r="K92" i="3"/>
  <c r="J56" i="8" s="1"/>
  <c r="K116" i="3"/>
  <c r="J80" i="8" s="1"/>
  <c r="K96" i="3"/>
  <c r="J60" i="8" s="1"/>
  <c r="K100" i="3"/>
  <c r="J64" i="8" s="1"/>
  <c r="K86" i="3"/>
  <c r="J50" i="8" s="1"/>
  <c r="K46" i="3"/>
  <c r="J10" i="8" s="1"/>
  <c r="K70" i="3"/>
  <c r="J34" i="8" s="1"/>
  <c r="K94" i="3"/>
  <c r="J58" i="8" s="1"/>
  <c r="K118" i="3"/>
  <c r="J82" i="8" s="1"/>
  <c r="K48" i="3"/>
  <c r="J12" i="8" s="1"/>
  <c r="K76" i="3"/>
  <c r="J40" i="8" s="1"/>
  <c r="K84" i="3"/>
  <c r="J48" i="8" s="1"/>
  <c r="K110" i="3"/>
  <c r="J74" i="8" s="1"/>
  <c r="K40" i="3"/>
  <c r="J4" i="8" s="1"/>
  <c r="K38" i="3"/>
  <c r="J2" i="8" s="1"/>
  <c r="I103" i="3"/>
  <c r="I115" i="3"/>
  <c r="I119" i="3"/>
  <c r="I59" i="3"/>
  <c r="I87" i="3"/>
  <c r="I121" i="3"/>
  <c r="I117" i="3"/>
  <c r="I113" i="3"/>
  <c r="I111" i="3"/>
  <c r="I109" i="3"/>
  <c r="I107" i="3"/>
  <c r="I105" i="3"/>
  <c r="I101" i="3"/>
  <c r="I99" i="3"/>
  <c r="I97" i="3"/>
  <c r="I95" i="3"/>
  <c r="I93" i="3"/>
  <c r="I91" i="3"/>
  <c r="I89" i="3"/>
  <c r="I85" i="3"/>
  <c r="I83" i="3"/>
  <c r="I81" i="3"/>
  <c r="I79" i="3"/>
  <c r="I77" i="3"/>
  <c r="I75" i="3"/>
  <c r="I73" i="3"/>
  <c r="I71" i="3"/>
  <c r="I69" i="3"/>
  <c r="I67" i="3"/>
  <c r="I65" i="3"/>
  <c r="I63" i="3"/>
  <c r="I61" i="3"/>
  <c r="I57" i="3"/>
  <c r="I55" i="3"/>
  <c r="I53" i="3"/>
  <c r="I51" i="3"/>
  <c r="I49" i="3"/>
  <c r="E26" i="3"/>
  <c r="H23" i="3"/>
  <c r="H22" i="3"/>
  <c r="F24" i="3"/>
  <c r="E21" i="3"/>
  <c r="F23" i="3"/>
  <c r="F25" i="3"/>
  <c r="I41" i="3"/>
  <c r="I47" i="3"/>
  <c r="I39" i="3"/>
  <c r="I45" i="3"/>
  <c r="E24" i="3"/>
  <c r="I43" i="3"/>
  <c r="E23" i="3"/>
  <c r="E30" i="3"/>
  <c r="E25" i="3"/>
  <c r="H21" i="3"/>
  <c r="F22" i="3"/>
  <c r="E22" i="3"/>
  <c r="E27" i="3" l="1"/>
</calcChain>
</file>

<file path=xl/sharedStrings.xml><?xml version="1.0" encoding="utf-8"?>
<sst xmlns="http://schemas.openxmlformats.org/spreadsheetml/2006/main" count="387" uniqueCount="136">
  <si>
    <t>Before you start:</t>
  </si>
  <si>
    <t>Check that "solver" is installed</t>
  </si>
  <si>
    <t>"Solve"</t>
  </si>
  <si>
    <t>Input OD values for standards (Fig 4 in protocol)</t>
  </si>
  <si>
    <t>OD (averaged)</t>
  </si>
  <si>
    <t>Predicted values</t>
    <phoneticPr fontId="0"/>
  </si>
  <si>
    <t>Residual Squares</t>
  </si>
  <si>
    <t>Parameter (Y=(A-D)/(1+(X/C)^B)+D)</t>
  </si>
  <si>
    <t>A</t>
    <phoneticPr fontId="0"/>
  </si>
  <si>
    <t>(Max.)</t>
    <phoneticPr fontId="0"/>
  </si>
  <si>
    <t>B</t>
    <phoneticPr fontId="0"/>
  </si>
  <si>
    <t>(Slope)</t>
    <phoneticPr fontId="0"/>
  </si>
  <si>
    <t>C</t>
    <phoneticPr fontId="0"/>
  </si>
  <si>
    <t>D</t>
    <phoneticPr fontId="0"/>
  </si>
  <si>
    <t>(Min.)</t>
    <phoneticPr fontId="0"/>
  </si>
  <si>
    <t xml:space="preserve">Check graph and parametres (A&gt;0.7; D&lt;0.1; </t>
  </si>
  <si>
    <t>Input average OD of unknown samples in cell c48 (sample 1) , c49 (sample 2)….</t>
  </si>
  <si>
    <t>Sample concentrations should only be used from datapoints that are within the valid working range of the standard curve</t>
  </si>
  <si>
    <t>Ic20</t>
  </si>
  <si>
    <t>Ic80</t>
  </si>
  <si>
    <t>OD</t>
  </si>
  <si>
    <t>X=C x ((A-Y)/(Y-D))^(1/B)</t>
  </si>
  <si>
    <t>Select solver  (Target Cell: $e$32 - Cell Changes: $c$35:$c$38 - Optimize: Minimize - GRG Nonlinear )</t>
  </si>
  <si>
    <t>B/Bo</t>
  </si>
  <si>
    <t>Calculated ELISA MCTADDA concentration are given automatically in cell d48 (sample 1), c49 (sample 2),….</t>
  </si>
  <si>
    <t>MCTADDA-conc</t>
  </si>
  <si>
    <r>
      <t>(IC</t>
    </r>
    <r>
      <rPr>
        <vertAlign val="subscript"/>
        <sz val="12"/>
        <rFont val="Calibri"/>
        <family val="2"/>
        <scheme val="minor"/>
      </rPr>
      <t>50</t>
    </r>
    <r>
      <rPr>
        <sz val="12"/>
        <rFont val="Calibri"/>
        <family val="2"/>
        <scheme val="minor"/>
      </rPr>
      <t>)</t>
    </r>
  </si>
  <si>
    <t>Std Dev</t>
  </si>
  <si>
    <t>%CV</t>
  </si>
  <si>
    <t>R-Squared</t>
  </si>
  <si>
    <t>Sum Of Squares</t>
  </si>
  <si>
    <t>Std 0</t>
  </si>
  <si>
    <t>Std 1</t>
  </si>
  <si>
    <t>Std 2</t>
  </si>
  <si>
    <t>Std 3</t>
  </si>
  <si>
    <t>Std 4</t>
  </si>
  <si>
    <t>Std 5</t>
  </si>
  <si>
    <t>Absorbances</t>
  </si>
  <si>
    <t>** USER MUST ONLY INPUT VALUES IN GREY-COLORED CELLS **</t>
  </si>
  <si>
    <t>Kit Lot #</t>
  </si>
  <si>
    <t>Comments</t>
  </si>
  <si>
    <t>Standards (ng/ml)</t>
  </si>
  <si>
    <t>Sample Concentration (ng/ml)</t>
  </si>
  <si>
    <t>Sample Concentration Avg (ng/ml)</t>
  </si>
  <si>
    <t>Sample/Control</t>
  </si>
  <si>
    <t>Control</t>
  </si>
  <si>
    <t>Enter the standard concentrations of each standard into the grey boxes</t>
  </si>
  <si>
    <t>Enter descriptions and absorbance values of each sample and control into the grey boxes</t>
  </si>
  <si>
    <t>Enter the absorbance values of each standard into the grey boxes</t>
  </si>
  <si>
    <t>Dilution Factor</t>
  </si>
  <si>
    <t>date</t>
  </si>
  <si>
    <t>Type</t>
  </si>
  <si>
    <t>Total</t>
  </si>
  <si>
    <t>Dissolved</t>
  </si>
  <si>
    <t>Date</t>
  </si>
  <si>
    <t>sample</t>
  </si>
  <si>
    <t>type</t>
  </si>
  <si>
    <t>analytical_rep</t>
  </si>
  <si>
    <t>sample_conc</t>
  </si>
  <si>
    <t>df</t>
  </si>
  <si>
    <t>final_conc</t>
  </si>
  <si>
    <t>Muddy_Creek</t>
  </si>
  <si>
    <t>ODNR_4</t>
  </si>
  <si>
    <t>ODNR_6</t>
  </si>
  <si>
    <t>Bridge</t>
  </si>
  <si>
    <t>ODNR_2</t>
  </si>
  <si>
    <t>Buoy_2</t>
  </si>
  <si>
    <t>ODNR_1</t>
  </si>
  <si>
    <t>EC_1163</t>
  </si>
  <si>
    <t>Causeway</t>
  </si>
  <si>
    <t>Bells</t>
  </si>
  <si>
    <t>analytical rep</t>
  </si>
  <si>
    <t>41 samples</t>
  </si>
  <si>
    <t>sample number</t>
  </si>
  <si>
    <t>Sample Number</t>
  </si>
  <si>
    <t>Blank</t>
  </si>
  <si>
    <r>
      <t>Calculate MC TADDA-concentration in samples in wells:</t>
    </r>
    <r>
      <rPr>
        <sz val="12"/>
        <color theme="1"/>
        <rFont val="Calibri"/>
        <family val="2"/>
        <scheme val="minor"/>
      </rPr>
      <t xml:space="preserve"> </t>
    </r>
  </si>
  <si>
    <r>
      <t>If OD is outsite the</t>
    </r>
    <r>
      <rPr>
        <b/>
        <sz val="12"/>
        <color theme="1"/>
        <rFont val="Calibri"/>
        <family val="2"/>
        <scheme val="minor"/>
      </rPr>
      <t xml:space="preserve"> Ic20 to Ic80 range</t>
    </r>
    <r>
      <rPr>
        <sz val="12"/>
        <color theme="1"/>
        <rFont val="Calibri"/>
        <family val="2"/>
        <scheme val="minor"/>
      </rPr>
      <t>, dilution sholud be adjusted and the samples assayed again</t>
    </r>
  </si>
  <si>
    <t>avg_conc</t>
  </si>
  <si>
    <t>site</t>
  </si>
  <si>
    <t>A</t>
  </si>
  <si>
    <t>B</t>
  </si>
  <si>
    <t>C</t>
  </si>
  <si>
    <t>D</t>
  </si>
  <si>
    <t>E</t>
  </si>
  <si>
    <t>F</t>
  </si>
  <si>
    <t>G</t>
  </si>
  <si>
    <t>H</t>
  </si>
  <si>
    <t>Enter absorbances from the plate reader here</t>
  </si>
  <si>
    <t>std 0</t>
  </si>
  <si>
    <t>std 1</t>
  </si>
  <si>
    <t>std 2</t>
  </si>
  <si>
    <t>std 3</t>
  </si>
  <si>
    <t>std 4</t>
  </si>
  <si>
    <t>std 5</t>
  </si>
  <si>
    <t>example plate layout</t>
  </si>
  <si>
    <t>Muddy_Creek_T</t>
  </si>
  <si>
    <t>ODNR_6_T</t>
  </si>
  <si>
    <t>ODNR_2_T</t>
  </si>
  <si>
    <t>ODNR_1_T</t>
  </si>
  <si>
    <t>Muddy_Creek_D</t>
  </si>
  <si>
    <t>ODNR_6_D</t>
  </si>
  <si>
    <t>ODNR_2_D</t>
  </si>
  <si>
    <t>ODNR_1_D</t>
  </si>
  <si>
    <t>ODNR_4_T</t>
  </si>
  <si>
    <t>Bridge_T</t>
  </si>
  <si>
    <t>Buoy_2_T</t>
  </si>
  <si>
    <t>EC_1163_T</t>
  </si>
  <si>
    <t>ODNR_4_D</t>
  </si>
  <si>
    <t>Bridge_D</t>
  </si>
  <si>
    <t>Buoy_2_D</t>
  </si>
  <si>
    <t>EC_1163_D</t>
  </si>
  <si>
    <t>Causeway_T</t>
  </si>
  <si>
    <t>Causeway_D</t>
  </si>
  <si>
    <t>Bells_T</t>
  </si>
  <si>
    <t>Bells_D</t>
  </si>
  <si>
    <t>Muddy_Creek_Total</t>
  </si>
  <si>
    <t>Muddy_Creek_Dissolved</t>
  </si>
  <si>
    <t>ODNR_4_Total</t>
  </si>
  <si>
    <t>ODNR_4_Dissolved</t>
  </si>
  <si>
    <t>ODNR_6_Total</t>
  </si>
  <si>
    <t>ODNR_6_Dissolved</t>
  </si>
  <si>
    <t>Bridge_Total</t>
  </si>
  <si>
    <t>Bridge_Dissolved</t>
  </si>
  <si>
    <t>ODNR_2_Total</t>
  </si>
  <si>
    <t>ODNR_2_Dissolved</t>
  </si>
  <si>
    <t>Buoy_2_Total</t>
  </si>
  <si>
    <t>Buoy_2_Dissolved</t>
  </si>
  <si>
    <t>ODNR_1_Total</t>
  </si>
  <si>
    <t>ODNR_1_Dissolved</t>
  </si>
  <si>
    <t>EC_1163_Total</t>
  </si>
  <si>
    <t>EC_1163_Dissolved</t>
  </si>
  <si>
    <t>Causeway_Total</t>
  </si>
  <si>
    <t>Causeway_Dissolved</t>
  </si>
  <si>
    <t>Bells_Total</t>
  </si>
  <si>
    <t>Bells_Dissolved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</si>
</sst>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;;;"/>
    <numFmt numFmtId="166" formatCode="0.00000"/>
  </numFmts>
  <fonts count="1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Verdana"/>
      <family val="2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36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indexed="8"/>
      <name val="Calibri"/>
      <family val="2"/>
      <scheme val="minor"/>
    </font>
    <font>
      <vertAlign val="subscript"/>
      <sz val="1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ck">
        <color indexed="64"/>
      </top>
      <bottom style="thin">
        <color auto="1"/>
      </bottom>
      <diagonal/>
    </border>
    <border>
      <left style="thin">
        <color indexed="64"/>
      </left>
      <right/>
      <top style="thick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177">
    <xf numFmtId="0" fontId="0" fillId="0" borderId="0" xfId="0"/>
    <xf numFmtId="0" fontId="0" fillId="0" borderId="0" xfId="0" applyFont="1"/>
    <xf numFmtId="2" fontId="0" fillId="0" borderId="0" xfId="0" applyNumberFormat="1" applyFont="1"/>
    <xf numFmtId="2" fontId="0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165" fontId="0" fillId="0" borderId="0" xfId="0" applyNumberFormat="1" applyFont="1"/>
    <xf numFmtId="165" fontId="0" fillId="0" borderId="0" xfId="0" applyNumberFormat="1" applyFont="1" applyBorder="1"/>
    <xf numFmtId="165" fontId="0" fillId="0" borderId="0" xfId="0" applyNumberFormat="1" applyFont="1" applyFill="1"/>
    <xf numFmtId="165" fontId="0" fillId="0" borderId="0" xfId="0" applyNumberFormat="1" applyFont="1" applyFill="1" applyBorder="1"/>
    <xf numFmtId="165" fontId="0" fillId="0" borderId="0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0" fillId="0" borderId="1" xfId="0" applyFont="1" applyBorder="1"/>
    <xf numFmtId="164" fontId="0" fillId="0" borderId="1" xfId="0" applyNumberFormat="1" applyFont="1" applyBorder="1"/>
    <xf numFmtId="166" fontId="0" fillId="0" borderId="1" xfId="0" applyNumberFormat="1" applyFont="1" applyBorder="1"/>
    <xf numFmtId="11" fontId="0" fillId="0" borderId="1" xfId="0" applyNumberFormat="1" applyFont="1" applyBorder="1"/>
    <xf numFmtId="164" fontId="0" fillId="3" borderId="1" xfId="0" applyNumberFormat="1" applyFont="1" applyFill="1" applyBorder="1" applyAlignment="1">
      <alignment horizontal="center"/>
    </xf>
    <xf numFmtId="164" fontId="5" fillId="3" borderId="2" xfId="0" applyNumberFormat="1" applyFont="1" applyFill="1" applyBorder="1"/>
    <xf numFmtId="164" fontId="0" fillId="0" borderId="2" xfId="0" applyNumberFormat="1" applyFont="1" applyBorder="1"/>
    <xf numFmtId="0" fontId="14" fillId="0" borderId="0" xfId="0" applyFont="1"/>
    <xf numFmtId="0" fontId="15" fillId="0" borderId="0" xfId="0" applyFont="1"/>
    <xf numFmtId="0" fontId="0" fillId="0" borderId="3" xfId="0" applyFont="1" applyBorder="1"/>
    <xf numFmtId="0" fontId="6" fillId="0" borderId="0" xfId="0" applyFont="1" applyAlignment="1">
      <alignment horizontal="right"/>
    </xf>
    <xf numFmtId="164" fontId="5" fillId="3" borderId="5" xfId="0" applyNumberFormat="1" applyFont="1" applyFill="1" applyBorder="1"/>
    <xf numFmtId="164" fontId="0" fillId="0" borderId="5" xfId="0" applyNumberFormat="1" applyFont="1" applyBorder="1"/>
    <xf numFmtId="164" fontId="5" fillId="3" borderId="6" xfId="0" applyNumberFormat="1" applyFont="1" applyFill="1" applyBorder="1"/>
    <xf numFmtId="164" fontId="0" fillId="0" borderId="6" xfId="0" applyNumberFormat="1" applyFont="1" applyBorder="1"/>
    <xf numFmtId="164" fontId="5" fillId="3" borderId="4" xfId="0" applyNumberFormat="1" applyFont="1" applyFill="1" applyBorder="1"/>
    <xf numFmtId="0" fontId="0" fillId="0" borderId="0" xfId="0" applyFont="1" applyAlignment="1"/>
    <xf numFmtId="164" fontId="0" fillId="0" borderId="13" xfId="0" applyNumberFormat="1" applyFont="1" applyBorder="1"/>
    <xf numFmtId="164" fontId="5" fillId="3" borderId="14" xfId="0" applyNumberFormat="1" applyFont="1" applyFill="1" applyBorder="1"/>
    <xf numFmtId="164" fontId="0" fillId="0" borderId="5" xfId="0" applyNumberFormat="1" applyFont="1" applyBorder="1" applyAlignment="1">
      <alignment horizontal="right"/>
    </xf>
    <xf numFmtId="164" fontId="0" fillId="0" borderId="6" xfId="0" applyNumberFormat="1" applyFont="1" applyBorder="1" applyAlignment="1">
      <alignment horizontal="right"/>
    </xf>
    <xf numFmtId="164" fontId="0" fillId="0" borderId="2" xfId="0" applyNumberFormat="1" applyFont="1" applyBorder="1" applyAlignment="1">
      <alignment horizontal="right"/>
    </xf>
    <xf numFmtId="164" fontId="0" fillId="0" borderId="11" xfId="0" applyNumberFormat="1" applyFont="1" applyBorder="1" applyAlignment="1">
      <alignment horizontal="right"/>
    </xf>
    <xf numFmtId="0" fontId="0" fillId="0" borderId="0" xfId="0" applyFont="1" applyFill="1" applyBorder="1"/>
    <xf numFmtId="164" fontId="0" fillId="0" borderId="6" xfId="0" applyNumberFormat="1" applyFont="1" applyFill="1" applyBorder="1" applyAlignment="1">
      <alignment horizontal="right"/>
    </xf>
    <xf numFmtId="0" fontId="0" fillId="0" borderId="0" xfId="0" applyFont="1" applyFill="1"/>
    <xf numFmtId="164" fontId="0" fillId="0" borderId="2" xfId="0" applyNumberFormat="1" applyFont="1" applyFill="1" applyBorder="1" applyAlignment="1">
      <alignment horizontal="right"/>
    </xf>
    <xf numFmtId="164" fontId="0" fillId="0" borderId="11" xfId="0" applyNumberFormat="1" applyFont="1" applyFill="1" applyBorder="1" applyAlignment="1">
      <alignment horizontal="right"/>
    </xf>
    <xf numFmtId="164" fontId="0" fillId="0" borderId="15" xfId="0" applyNumberFormat="1" applyFont="1" applyFill="1" applyBorder="1" applyAlignment="1">
      <alignment horizontal="right"/>
    </xf>
    <xf numFmtId="164" fontId="0" fillId="0" borderId="16" xfId="0" applyNumberFormat="1" applyFont="1" applyBorder="1" applyAlignment="1">
      <alignment horizontal="right"/>
    </xf>
    <xf numFmtId="164" fontId="0" fillId="0" borderId="14" xfId="0" applyNumberFormat="1" applyFont="1" applyBorder="1" applyAlignment="1">
      <alignment horizontal="right"/>
    </xf>
    <xf numFmtId="0" fontId="0" fillId="0" borderId="0" xfId="0" applyFont="1" applyBorder="1"/>
    <xf numFmtId="0" fontId="13" fillId="2" borderId="2" xfId="0" applyFont="1" applyFill="1" applyBorder="1" applyAlignment="1">
      <alignment horizontal="center" vertical="center"/>
    </xf>
    <xf numFmtId="2" fontId="10" fillId="2" borderId="2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164" fontId="0" fillId="3" borderId="1" xfId="0" applyNumberFormat="1" applyFont="1" applyFill="1" applyBorder="1"/>
    <xf numFmtId="164" fontId="11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Font="1" applyFill="1" applyBorder="1" applyAlignment="1"/>
    <xf numFmtId="165" fontId="7" fillId="0" borderId="0" xfId="0" applyNumberFormat="1" applyFont="1" applyFill="1" applyBorder="1" applyAlignment="1"/>
    <xf numFmtId="0" fontId="0" fillId="0" borderId="0" xfId="0" applyAlignment="1"/>
    <xf numFmtId="2" fontId="0" fillId="0" borderId="0" xfId="0" applyNumberFormat="1" applyAlignment="1"/>
    <xf numFmtId="2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/>
    <xf numFmtId="2" fontId="0" fillId="0" borderId="1" xfId="0" applyNumberFormat="1" applyBorder="1" applyAlignment="1"/>
    <xf numFmtId="0" fontId="0" fillId="5" borderId="1" xfId="0" applyFill="1" applyBorder="1" applyAlignment="1"/>
    <xf numFmtId="14" fontId="0" fillId="5" borderId="1" xfId="0" applyNumberFormat="1" applyFill="1" applyBorder="1" applyAlignment="1"/>
    <xf numFmtId="2" fontId="0" fillId="5" borderId="1" xfId="0" applyNumberFormat="1" applyFill="1" applyBorder="1" applyAlignment="1"/>
    <xf numFmtId="14" fontId="0" fillId="0" borderId="2" xfId="0" applyNumberFormat="1" applyBorder="1" applyAlignment="1"/>
    <xf numFmtId="0" fontId="0" fillId="5" borderId="2" xfId="0" applyFill="1" applyBorder="1" applyAlignment="1"/>
    <xf numFmtId="14" fontId="0" fillId="5" borderId="2" xfId="0" applyNumberFormat="1" applyFill="1" applyBorder="1" applyAlignment="1"/>
    <xf numFmtId="14" fontId="0" fillId="0" borderId="0" xfId="0" applyNumberFormat="1" applyAlignment="1"/>
    <xf numFmtId="14" fontId="5" fillId="3" borderId="5" xfId="0" applyNumberFormat="1" applyFont="1" applyFill="1" applyBorder="1"/>
    <xf numFmtId="14" fontId="5" fillId="3" borderId="6" xfId="0" applyNumberFormat="1" applyFont="1" applyFill="1" applyBorder="1"/>
    <xf numFmtId="164" fontId="0" fillId="0" borderId="2" xfId="0" applyNumberFormat="1" applyFont="1" applyFill="1" applyBorder="1"/>
    <xf numFmtId="164" fontId="0" fillId="0" borderId="16" xfId="0" applyNumberFormat="1" applyFont="1" applyFill="1" applyBorder="1" applyAlignment="1">
      <alignment horizontal="right"/>
    </xf>
    <xf numFmtId="164" fontId="0" fillId="0" borderId="6" xfId="0" applyNumberFormat="1" applyFont="1" applyFill="1" applyBorder="1"/>
    <xf numFmtId="164" fontId="0" fillId="0" borderId="20" xfId="0" applyNumberFormat="1" applyFont="1" applyFill="1" applyBorder="1"/>
    <xf numFmtId="164" fontId="0" fillId="0" borderId="7" xfId="0" applyNumberFormat="1" applyFont="1" applyFill="1" applyBorder="1" applyAlignment="1">
      <alignment horizontal="right"/>
    </xf>
    <xf numFmtId="164" fontId="0" fillId="0" borderId="5" xfId="0" applyNumberFormat="1" applyFont="1" applyFill="1" applyBorder="1"/>
    <xf numFmtId="164" fontId="0" fillId="0" borderId="13" xfId="0" applyNumberFormat="1" applyFont="1" applyFill="1" applyBorder="1"/>
    <xf numFmtId="164" fontId="0" fillId="0" borderId="14" xfId="0" applyNumberFormat="1" applyFont="1" applyFill="1" applyBorder="1" applyAlignment="1">
      <alignment horizontal="right"/>
    </xf>
    <xf numFmtId="14" fontId="5" fillId="3" borderId="30" xfId="0" applyNumberFormat="1" applyFont="1" applyFill="1" applyBorder="1"/>
    <xf numFmtId="164" fontId="5" fillId="3" borderId="30" xfId="0" applyNumberFormat="1" applyFont="1" applyFill="1" applyBorder="1"/>
    <xf numFmtId="164" fontId="0" fillId="0" borderId="30" xfId="0" applyNumberFormat="1" applyFont="1" applyBorder="1"/>
    <xf numFmtId="164" fontId="0" fillId="0" borderId="30" xfId="0" applyNumberFormat="1" applyFont="1" applyBorder="1" applyAlignment="1">
      <alignment horizontal="right"/>
    </xf>
    <xf numFmtId="164" fontId="0" fillId="0" borderId="30" xfId="0" applyNumberFormat="1" applyFont="1" applyFill="1" applyBorder="1" applyAlignment="1">
      <alignment horizontal="right"/>
    </xf>
    <xf numFmtId="164" fontId="0" fillId="0" borderId="31" xfId="0" applyNumberFormat="1" applyFont="1" applyFill="1" applyBorder="1" applyAlignment="1">
      <alignment horizontal="right"/>
    </xf>
    <xf numFmtId="0" fontId="0" fillId="3" borderId="33" xfId="0" applyFont="1" applyFill="1" applyBorder="1"/>
    <xf numFmtId="0" fontId="0" fillId="3" borderId="38" xfId="0" applyFont="1" applyFill="1" applyBorder="1"/>
    <xf numFmtId="164" fontId="0" fillId="0" borderId="7" xfId="0" applyNumberFormat="1" applyFont="1" applyFill="1" applyBorder="1"/>
    <xf numFmtId="0" fontId="17" fillId="2" borderId="23" xfId="0" applyFont="1" applyFill="1" applyBorder="1" applyAlignment="1">
      <alignment horizontal="center" vertical="center" wrapText="1"/>
    </xf>
    <xf numFmtId="0" fontId="17" fillId="2" borderId="28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 wrapText="1"/>
    </xf>
    <xf numFmtId="0" fontId="0" fillId="0" borderId="1" xfId="0" applyFill="1" applyBorder="1" applyAlignment="1"/>
    <xf numFmtId="14" fontId="0" fillId="0" borderId="1" xfId="0" applyNumberFormat="1" applyFill="1" applyBorder="1" applyAlignment="1"/>
    <xf numFmtId="2" fontId="0" fillId="0" borderId="1" xfId="0" applyNumberFormat="1" applyFill="1" applyBorder="1" applyAlignment="1"/>
    <xf numFmtId="0" fontId="0" fillId="2" borderId="1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vertical="center"/>
    </xf>
    <xf numFmtId="2" fontId="0" fillId="0" borderId="1" xfId="0" applyNumberFormat="1" applyFill="1" applyBorder="1" applyAlignment="1">
      <alignment vertical="center"/>
    </xf>
    <xf numFmtId="2" fontId="0" fillId="0" borderId="2" xfId="0" applyNumberFormat="1" applyBorder="1" applyAlignment="1">
      <alignment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vertical="center"/>
    </xf>
    <xf numFmtId="2" fontId="0" fillId="5" borderId="2" xfId="0" applyNumberFormat="1" applyFill="1" applyBorder="1" applyAlignment="1">
      <alignment vertical="center"/>
    </xf>
    <xf numFmtId="2" fontId="0" fillId="5" borderId="2" xfId="0" applyNumberFormat="1" applyFill="1" applyBorder="1" applyAlignment="1"/>
    <xf numFmtId="0" fontId="0" fillId="2" borderId="43" xfId="0" applyFill="1" applyBorder="1" applyAlignment="1">
      <alignment horizontal="center" vertical="center"/>
    </xf>
    <xf numFmtId="0" fontId="0" fillId="0" borderId="46" xfId="0" applyBorder="1"/>
    <xf numFmtId="0" fontId="0" fillId="0" borderId="7" xfId="0" applyBorder="1"/>
    <xf numFmtId="0" fontId="0" fillId="0" borderId="47" xfId="0" applyBorder="1"/>
    <xf numFmtId="0" fontId="0" fillId="2" borderId="29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6" borderId="38" xfId="0" applyFont="1" applyFill="1" applyBorder="1"/>
    <xf numFmtId="14" fontId="5" fillId="6" borderId="5" xfId="0" applyNumberFormat="1" applyFont="1" applyFill="1" applyBorder="1"/>
    <xf numFmtId="164" fontId="5" fillId="6" borderId="5" xfId="0" applyNumberFormat="1" applyFont="1" applyFill="1" applyBorder="1"/>
    <xf numFmtId="164" fontId="0" fillId="6" borderId="5" xfId="0" applyNumberFormat="1" applyFont="1" applyFill="1" applyBorder="1"/>
    <xf numFmtId="164" fontId="0" fillId="6" borderId="11" xfId="0" applyNumberFormat="1" applyFont="1" applyFill="1" applyBorder="1" applyAlignment="1">
      <alignment horizontal="right"/>
    </xf>
    <xf numFmtId="0" fontId="0" fillId="6" borderId="33" xfId="0" applyFont="1" applyFill="1" applyBorder="1"/>
    <xf numFmtId="14" fontId="5" fillId="6" borderId="6" xfId="0" applyNumberFormat="1" applyFont="1" applyFill="1" applyBorder="1"/>
    <xf numFmtId="164" fontId="5" fillId="6" borderId="6" xfId="0" applyNumberFormat="1" applyFont="1" applyFill="1" applyBorder="1"/>
    <xf numFmtId="164" fontId="0" fillId="6" borderId="6" xfId="0" applyNumberFormat="1" applyFont="1" applyFill="1" applyBorder="1"/>
    <xf numFmtId="164" fontId="0" fillId="6" borderId="6" xfId="0" applyNumberFormat="1" applyFont="1" applyFill="1" applyBorder="1" applyAlignment="1">
      <alignment horizontal="right"/>
    </xf>
    <xf numFmtId="0" fontId="0" fillId="3" borderId="29" xfId="0" applyFill="1" applyBorder="1"/>
    <xf numFmtId="0" fontId="0" fillId="3" borderId="33" xfId="0" applyFill="1" applyBorder="1"/>
    <xf numFmtId="0" fontId="0" fillId="3" borderId="35" xfId="0" applyFill="1" applyBorder="1"/>
    <xf numFmtId="0" fontId="0" fillId="3" borderId="37" xfId="0" applyFill="1" applyBorder="1"/>
    <xf numFmtId="0" fontId="0" fillId="3" borderId="38" xfId="0" applyFill="1" applyBorder="1"/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165" fontId="0" fillId="0" borderId="0" xfId="0" applyNumberFormat="1" applyFont="1" applyFill="1" applyBorder="1" applyAlignment="1"/>
    <xf numFmtId="0" fontId="15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165" fontId="7" fillId="0" borderId="0" xfId="0" applyNumberFormat="1" applyFont="1" applyFill="1" applyBorder="1" applyAlignment="1"/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165" fontId="8" fillId="0" borderId="0" xfId="0" applyNumberFormat="1" applyFont="1" applyFill="1" applyBorder="1" applyAlignment="1"/>
    <xf numFmtId="165" fontId="5" fillId="0" borderId="0" xfId="0" applyNumberFormat="1" applyFont="1" applyFill="1" applyBorder="1" applyAlignment="1"/>
    <xf numFmtId="0" fontId="1" fillId="0" borderId="32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34" xfId="0" applyFont="1" applyFill="1" applyBorder="1" applyAlignment="1">
      <alignment horizontal="center" vertical="center" wrapText="1"/>
    </xf>
    <xf numFmtId="165" fontId="9" fillId="0" borderId="0" xfId="0" applyNumberFormat="1" applyFont="1" applyFill="1" applyBorder="1" applyAlignment="1"/>
    <xf numFmtId="165" fontId="0" fillId="0" borderId="0" xfId="0" applyNumberFormat="1" applyFont="1" applyFill="1" applyBorder="1" applyAlignment="1" applyProtection="1">
      <alignment wrapText="1"/>
    </xf>
    <xf numFmtId="0" fontId="1" fillId="0" borderId="12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 vertical="center" wrapText="1"/>
    </xf>
    <xf numFmtId="0" fontId="1" fillId="0" borderId="27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10" xfId="0" applyFont="1" applyFill="1" applyBorder="1" applyAlignment="1">
      <alignment horizontal="center" vertical="center" wrapText="1"/>
    </xf>
    <xf numFmtId="0" fontId="1" fillId="6" borderId="36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  <xf numFmtId="0" fontId="1" fillId="6" borderId="34" xfId="0" applyFont="1" applyFill="1" applyBorder="1" applyAlignment="1">
      <alignment horizontal="center" vertical="center" wrapText="1"/>
    </xf>
    <xf numFmtId="0" fontId="0" fillId="2" borderId="41" xfId="0" applyFont="1" applyFill="1" applyBorder="1" applyAlignment="1">
      <alignment horizontal="center" vertical="center" wrapText="1"/>
    </xf>
    <xf numFmtId="0" fontId="0" fillId="2" borderId="42" xfId="0" applyFont="1" applyFill="1" applyBorder="1" applyAlignment="1">
      <alignment horizontal="center" vertical="center" wrapText="1"/>
    </xf>
    <xf numFmtId="0" fontId="0" fillId="6" borderId="41" xfId="0" applyFont="1" applyFill="1" applyBorder="1" applyAlignment="1">
      <alignment horizontal="center" vertical="center" wrapText="1"/>
    </xf>
    <xf numFmtId="0" fontId="0" fillId="6" borderId="42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</cellXfs>
  <cellStyles count="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Normal" xfId="0" builtinId="0"/>
    <cellStyle name="Normal 2" xfId="19" xr:uid="{00000000-0005-0000-0000-000014000000}"/>
  </cellStyles>
  <dxfs count="4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 Standards'!$C$20</c:f>
              <c:strCache>
                <c:ptCount val="1"/>
                <c:pt idx="0">
                  <c:v>OD (averaged)</c:v>
                </c:pt>
              </c:strCache>
            </c:strRef>
          </c:tx>
          <c:spPr>
            <a:ln w="47625">
              <a:noFill/>
            </a:ln>
          </c:spPr>
          <c:xVal>
            <c:numRef>
              <c:f>'6 Standards'!$B$21:$B$26</c:f>
              <c:numCache>
                <c:formatCode>0.000</c:formatCode>
                <c:ptCount val="6"/>
                <c:pt idx="0">
                  <c:v>0</c:v>
                </c:pt>
                <c:pt idx="1">
                  <c:v>0.15</c:v>
                </c:pt>
                <c:pt idx="2">
                  <c:v>0.4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</c:numCache>
            </c:numRef>
          </c:xVal>
          <c:yVal>
            <c:numRef>
              <c:f>'6 Standards'!$C$21:$C$26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57-4DF5-B222-2C5292ED220A}"/>
            </c:ext>
          </c:extLst>
        </c:ser>
        <c:ser>
          <c:idx val="1"/>
          <c:order val="1"/>
          <c:tx>
            <c:strRef>
              <c:f>'6 Standards'!$D$20</c:f>
              <c:strCache>
                <c:ptCount val="1"/>
                <c:pt idx="0">
                  <c:v>Predicted values</c:v>
                </c:pt>
              </c:strCache>
            </c:strRef>
          </c:tx>
          <c:spPr>
            <a:ln w="12700" cmpd="sng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'6 Standards'!$B$21:$B$26</c:f>
              <c:numCache>
                <c:formatCode>0.000</c:formatCode>
                <c:ptCount val="6"/>
                <c:pt idx="0">
                  <c:v>0</c:v>
                </c:pt>
                <c:pt idx="1">
                  <c:v>0.15</c:v>
                </c:pt>
                <c:pt idx="2">
                  <c:v>0.4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</c:numCache>
            </c:numRef>
          </c:xVal>
          <c:yVal>
            <c:numRef>
              <c:f>'6 Standards'!$D$21:$D$26</c:f>
              <c:numCache>
                <c:formatCode>0.000</c:formatCode>
                <c:ptCount val="6"/>
                <c:pt idx="0">
                  <c:v>1.2178788791896304</c:v>
                </c:pt>
                <c:pt idx="1">
                  <c:v>1.1181827072089388</c:v>
                </c:pt>
                <c:pt idx="2">
                  <c:v>0.9508786377953744</c:v>
                </c:pt>
                <c:pt idx="3">
                  <c:v>0.69563002138669705</c:v>
                </c:pt>
                <c:pt idx="4">
                  <c:v>0.50746395255973487</c:v>
                </c:pt>
                <c:pt idx="5">
                  <c:v>0.34911183279214197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57-4DF5-B222-2C5292ED2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69792"/>
        <c:axId val="249171328"/>
      </c:scatterChart>
      <c:valAx>
        <c:axId val="249169792"/>
        <c:scaling>
          <c:logBase val="10"/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49171328"/>
        <c:crosses val="autoZero"/>
        <c:crossBetween val="midCat"/>
      </c:valAx>
      <c:valAx>
        <c:axId val="24917132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49169792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8740157499999996" r="0.78740157499999996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7</xdr:row>
      <xdr:rowOff>129540</xdr:rowOff>
    </xdr:from>
    <xdr:to>
      <xdr:col>7</xdr:col>
      <xdr:colOff>9526</xdr:colOff>
      <xdr:row>17</xdr:row>
      <xdr:rowOff>38100</xdr:rowOff>
    </xdr:to>
    <xdr:graphicFrame macro="">
      <xdr:nvGraphicFramePr>
        <xdr:cNvPr id="2" name="Diagram 4">
          <a:extLst>
            <a:ext uri="{FF2B5EF4-FFF2-40B4-BE49-F238E27FC236}">
              <a16:creationId xmlns:a16="http://schemas.microsoft.com/office/drawing/2014/main" id="{63C63077-567A-4306-94B6-9703C837F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EF9A5-8AA0-44BB-A2A0-F24F43508008}">
  <dimension ref="B1:N21"/>
  <sheetViews>
    <sheetView showGridLines="0" topLeftCell="B1" workbookViewId="0">
      <selection activeCell="F25" sqref="F25"/>
    </sheetView>
  </sheetViews>
  <sheetFormatPr defaultRowHeight="15.6" x14ac:dyDescent="0.3"/>
  <cols>
    <col min="4" max="14" width="14.69921875" customWidth="1"/>
  </cols>
  <sheetData>
    <row r="1" spans="2:14" ht="34.950000000000003" customHeight="1" thickBot="1" x14ac:dyDescent="0.35">
      <c r="B1" s="127" t="s">
        <v>88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9"/>
    </row>
    <row r="2" spans="2:14" x14ac:dyDescent="0.3">
      <c r="B2" s="107"/>
      <c r="C2" s="110">
        <v>1</v>
      </c>
      <c r="D2" s="110">
        <v>2</v>
      </c>
      <c r="E2" s="110">
        <v>3</v>
      </c>
      <c r="F2" s="110">
        <v>4</v>
      </c>
      <c r="G2" s="110">
        <v>5</v>
      </c>
      <c r="H2" s="110">
        <v>6</v>
      </c>
      <c r="I2" s="110">
        <v>7</v>
      </c>
      <c r="J2" s="110">
        <v>8</v>
      </c>
      <c r="K2" s="110">
        <v>9</v>
      </c>
      <c r="L2" s="110">
        <v>10</v>
      </c>
      <c r="M2" s="110">
        <v>11</v>
      </c>
      <c r="N2" s="111">
        <v>12</v>
      </c>
    </row>
    <row r="3" spans="2:14" x14ac:dyDescent="0.3">
      <c r="B3" s="108" t="s">
        <v>80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104"/>
    </row>
    <row r="4" spans="2:14" x14ac:dyDescent="0.3">
      <c r="B4" s="108" t="s">
        <v>81</v>
      </c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104"/>
    </row>
    <row r="5" spans="2:14" x14ac:dyDescent="0.3">
      <c r="B5" s="108" t="s">
        <v>82</v>
      </c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104"/>
    </row>
    <row r="6" spans="2:14" x14ac:dyDescent="0.3">
      <c r="B6" s="108" t="s">
        <v>83</v>
      </c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104"/>
    </row>
    <row r="7" spans="2:14" x14ac:dyDescent="0.3">
      <c r="B7" s="108" t="s">
        <v>84</v>
      </c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104"/>
    </row>
    <row r="8" spans="2:14" x14ac:dyDescent="0.3">
      <c r="B8" s="108" t="s">
        <v>85</v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104"/>
    </row>
    <row r="9" spans="2:14" x14ac:dyDescent="0.3">
      <c r="B9" s="108" t="s">
        <v>86</v>
      </c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104"/>
    </row>
    <row r="10" spans="2:14" ht="16.2" thickBot="1" x14ac:dyDescent="0.35">
      <c r="B10" s="109" t="s">
        <v>87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6"/>
    </row>
    <row r="11" spans="2:14" x14ac:dyDescent="0.3">
      <c r="B11" s="130" t="s">
        <v>95</v>
      </c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2"/>
    </row>
    <row r="12" spans="2:14" ht="16.2" thickBot="1" x14ac:dyDescent="0.35">
      <c r="B12" s="133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5"/>
    </row>
    <row r="13" spans="2:14" x14ac:dyDescent="0.3">
      <c r="B13" s="107"/>
      <c r="C13" s="110">
        <v>1</v>
      </c>
      <c r="D13" s="110">
        <v>2</v>
      </c>
      <c r="E13" s="110">
        <v>3</v>
      </c>
      <c r="F13" s="110">
        <v>4</v>
      </c>
      <c r="G13" s="110">
        <v>5</v>
      </c>
      <c r="H13" s="110">
        <v>6</v>
      </c>
      <c r="I13" s="110">
        <v>7</v>
      </c>
      <c r="J13" s="110">
        <v>8</v>
      </c>
      <c r="K13" s="110">
        <v>9</v>
      </c>
      <c r="L13" s="110">
        <v>10</v>
      </c>
      <c r="M13" s="110">
        <v>11</v>
      </c>
      <c r="N13" s="111">
        <v>12</v>
      </c>
    </row>
    <row r="14" spans="2:14" x14ac:dyDescent="0.3">
      <c r="B14" s="108" t="s">
        <v>80</v>
      </c>
      <c r="C14" s="98" t="s">
        <v>89</v>
      </c>
      <c r="D14" s="98" t="s">
        <v>93</v>
      </c>
      <c r="E14" s="98" t="s">
        <v>100</v>
      </c>
      <c r="F14" s="98" t="s">
        <v>101</v>
      </c>
      <c r="G14" s="98" t="s">
        <v>102</v>
      </c>
      <c r="H14" s="98" t="s">
        <v>103</v>
      </c>
      <c r="I14" s="98" t="s">
        <v>113</v>
      </c>
      <c r="J14" s="98" t="s">
        <v>100</v>
      </c>
      <c r="K14" s="98" t="s">
        <v>101</v>
      </c>
      <c r="L14" s="98" t="s">
        <v>102</v>
      </c>
      <c r="M14" s="98" t="s">
        <v>103</v>
      </c>
      <c r="N14" s="104" t="s">
        <v>113</v>
      </c>
    </row>
    <row r="15" spans="2:14" x14ac:dyDescent="0.3">
      <c r="B15" s="108" t="s">
        <v>81</v>
      </c>
      <c r="C15" s="98" t="s">
        <v>89</v>
      </c>
      <c r="D15" s="98" t="s">
        <v>93</v>
      </c>
      <c r="E15" s="98" t="s">
        <v>100</v>
      </c>
      <c r="F15" s="98" t="s">
        <v>101</v>
      </c>
      <c r="G15" s="98" t="s">
        <v>102</v>
      </c>
      <c r="H15" s="98" t="s">
        <v>103</v>
      </c>
      <c r="I15" s="98" t="s">
        <v>113</v>
      </c>
      <c r="J15" s="98" t="s">
        <v>100</v>
      </c>
      <c r="K15" s="98" t="s">
        <v>101</v>
      </c>
      <c r="L15" s="98" t="s">
        <v>102</v>
      </c>
      <c r="M15" s="98" t="s">
        <v>103</v>
      </c>
      <c r="N15" s="104" t="s">
        <v>113</v>
      </c>
    </row>
    <row r="16" spans="2:14" x14ac:dyDescent="0.3">
      <c r="B16" s="108" t="s">
        <v>82</v>
      </c>
      <c r="C16" s="98" t="s">
        <v>90</v>
      </c>
      <c r="D16" s="98" t="s">
        <v>94</v>
      </c>
      <c r="E16" s="98" t="s">
        <v>104</v>
      </c>
      <c r="F16" s="98" t="s">
        <v>105</v>
      </c>
      <c r="G16" s="98" t="s">
        <v>106</v>
      </c>
      <c r="H16" s="98" t="s">
        <v>107</v>
      </c>
      <c r="I16" s="98" t="s">
        <v>114</v>
      </c>
      <c r="J16" s="98" t="s">
        <v>104</v>
      </c>
      <c r="K16" s="98" t="s">
        <v>105</v>
      </c>
      <c r="L16" s="98" t="s">
        <v>106</v>
      </c>
      <c r="M16" s="98" t="s">
        <v>107</v>
      </c>
      <c r="N16" s="104" t="s">
        <v>114</v>
      </c>
    </row>
    <row r="17" spans="2:14" x14ac:dyDescent="0.3">
      <c r="B17" s="108" t="s">
        <v>83</v>
      </c>
      <c r="C17" s="98" t="s">
        <v>90</v>
      </c>
      <c r="D17" s="98" t="s">
        <v>94</v>
      </c>
      <c r="E17" s="98" t="s">
        <v>104</v>
      </c>
      <c r="F17" s="98" t="s">
        <v>105</v>
      </c>
      <c r="G17" s="98" t="s">
        <v>106</v>
      </c>
      <c r="H17" s="98" t="s">
        <v>107</v>
      </c>
      <c r="I17" s="98" t="s">
        <v>114</v>
      </c>
      <c r="J17" s="98" t="s">
        <v>104</v>
      </c>
      <c r="K17" s="98" t="s">
        <v>105</v>
      </c>
      <c r="L17" s="98" t="s">
        <v>106</v>
      </c>
      <c r="M17" s="98" t="s">
        <v>107</v>
      </c>
      <c r="N17" s="104" t="s">
        <v>114</v>
      </c>
    </row>
    <row r="18" spans="2:14" x14ac:dyDescent="0.3">
      <c r="B18" s="108" t="s">
        <v>84</v>
      </c>
      <c r="C18" s="98" t="s">
        <v>91</v>
      </c>
      <c r="D18" s="98" t="s">
        <v>45</v>
      </c>
      <c r="E18" s="98" t="s">
        <v>108</v>
      </c>
      <c r="F18" s="98" t="s">
        <v>109</v>
      </c>
      <c r="G18" s="98" t="s">
        <v>110</v>
      </c>
      <c r="H18" s="98" t="s">
        <v>111</v>
      </c>
      <c r="I18" s="98" t="s">
        <v>115</v>
      </c>
      <c r="J18" s="98" t="s">
        <v>108</v>
      </c>
      <c r="K18" s="98" t="s">
        <v>109</v>
      </c>
      <c r="L18" s="98" t="s">
        <v>110</v>
      </c>
      <c r="M18" s="98" t="s">
        <v>111</v>
      </c>
      <c r="N18" s="104" t="s">
        <v>115</v>
      </c>
    </row>
    <row r="19" spans="2:14" x14ac:dyDescent="0.3">
      <c r="B19" s="108" t="s">
        <v>85</v>
      </c>
      <c r="C19" s="98" t="s">
        <v>91</v>
      </c>
      <c r="D19" s="98" t="s">
        <v>45</v>
      </c>
      <c r="E19" s="98" t="s">
        <v>108</v>
      </c>
      <c r="F19" s="98" t="s">
        <v>109</v>
      </c>
      <c r="G19" s="98" t="s">
        <v>110</v>
      </c>
      <c r="H19" s="98" t="s">
        <v>111</v>
      </c>
      <c r="I19" s="98" t="s">
        <v>115</v>
      </c>
      <c r="J19" s="98" t="s">
        <v>108</v>
      </c>
      <c r="K19" s="98" t="s">
        <v>109</v>
      </c>
      <c r="L19" s="98" t="s">
        <v>110</v>
      </c>
      <c r="M19" s="98" t="s">
        <v>111</v>
      </c>
      <c r="N19" s="104" t="s">
        <v>115</v>
      </c>
    </row>
    <row r="20" spans="2:14" x14ac:dyDescent="0.3">
      <c r="B20" s="108" t="s">
        <v>86</v>
      </c>
      <c r="C20" s="98" t="s">
        <v>92</v>
      </c>
      <c r="D20" s="98" t="s">
        <v>96</v>
      </c>
      <c r="E20" s="98" t="s">
        <v>97</v>
      </c>
      <c r="F20" s="98" t="s">
        <v>98</v>
      </c>
      <c r="G20" s="98" t="s">
        <v>99</v>
      </c>
      <c r="H20" s="98" t="s">
        <v>112</v>
      </c>
      <c r="I20" s="98" t="s">
        <v>96</v>
      </c>
      <c r="J20" s="98" t="s">
        <v>97</v>
      </c>
      <c r="K20" s="98" t="s">
        <v>98</v>
      </c>
      <c r="L20" s="98" t="s">
        <v>99</v>
      </c>
      <c r="M20" s="98" t="s">
        <v>112</v>
      </c>
      <c r="N20" s="104" t="s">
        <v>45</v>
      </c>
    </row>
    <row r="21" spans="2:14" ht="16.2" thickBot="1" x14ac:dyDescent="0.35">
      <c r="B21" s="109" t="s">
        <v>87</v>
      </c>
      <c r="C21" s="105" t="s">
        <v>92</v>
      </c>
      <c r="D21" s="105" t="s">
        <v>96</v>
      </c>
      <c r="E21" s="105" t="s">
        <v>97</v>
      </c>
      <c r="F21" s="105" t="s">
        <v>98</v>
      </c>
      <c r="G21" s="105" t="s">
        <v>99</v>
      </c>
      <c r="H21" s="105" t="s">
        <v>112</v>
      </c>
      <c r="I21" s="105" t="s">
        <v>96</v>
      </c>
      <c r="J21" s="105" t="s">
        <v>97</v>
      </c>
      <c r="K21" s="105" t="s">
        <v>98</v>
      </c>
      <c r="L21" s="105" t="s">
        <v>99</v>
      </c>
      <c r="M21" s="105" t="s">
        <v>112</v>
      </c>
      <c r="N21" s="106" t="s">
        <v>45</v>
      </c>
    </row>
  </sheetData>
  <mergeCells count="2">
    <mergeCell ref="B1:N1"/>
    <mergeCell ref="B11:N12"/>
  </mergeCells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Z145"/>
  <sheetViews>
    <sheetView showGridLines="0" topLeftCell="A27" workbookViewId="0">
      <selection activeCell="B40" sqref="B40"/>
    </sheetView>
  </sheetViews>
  <sheetFormatPr defaultColWidth="11" defaultRowHeight="15.6" x14ac:dyDescent="0.3"/>
  <cols>
    <col min="1" max="1" width="11" style="1"/>
    <col min="2" max="2" width="18.796875" style="1" customWidth="1"/>
    <col min="3" max="3" width="12.19921875" style="1" customWidth="1"/>
    <col min="4" max="4" width="12.09765625" style="1" customWidth="1"/>
    <col min="5" max="5" width="12" style="1" customWidth="1"/>
    <col min="6" max="6" width="12.19921875" style="1" customWidth="1"/>
    <col min="7" max="7" width="12.69921875" style="1" customWidth="1"/>
    <col min="8" max="8" width="13.296875" style="1" customWidth="1"/>
    <col min="9" max="9" width="13.59765625" style="18" customWidth="1"/>
    <col min="10" max="17" width="11" style="1"/>
    <col min="18" max="18" width="13.3984375" style="1" customWidth="1"/>
    <col min="19" max="16384" width="11" style="1"/>
  </cols>
  <sheetData>
    <row r="1" spans="1:26" ht="16.2" thickBot="1" x14ac:dyDescent="0.35">
      <c r="A1" s="1" t="s">
        <v>72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6.2" thickBot="1" x14ac:dyDescent="0.35">
      <c r="B2" s="143" t="s">
        <v>38</v>
      </c>
      <c r="C2" s="144"/>
      <c r="D2" s="144"/>
      <c r="E2" s="144"/>
      <c r="F2" s="145"/>
      <c r="G2" s="21" t="s">
        <v>39</v>
      </c>
      <c r="H2" s="20"/>
      <c r="M2" s="7"/>
      <c r="N2" s="7"/>
      <c r="O2" s="7"/>
      <c r="P2" s="146" t="s">
        <v>0</v>
      </c>
      <c r="Q2" s="142"/>
      <c r="R2" s="142"/>
      <c r="S2" s="142"/>
      <c r="T2" s="142"/>
      <c r="U2" s="142"/>
      <c r="V2" s="142"/>
      <c r="W2" s="142"/>
      <c r="X2" s="142"/>
      <c r="Y2" s="142"/>
      <c r="Z2" s="5"/>
    </row>
    <row r="3" spans="1:26" ht="16.2" thickBot="1" x14ac:dyDescent="0.35">
      <c r="B3" s="19"/>
      <c r="G3" s="21"/>
      <c r="H3" s="42"/>
      <c r="M3" s="7"/>
      <c r="N3" s="7"/>
      <c r="O3" s="7"/>
      <c r="P3" s="50"/>
      <c r="Q3" s="49"/>
      <c r="R3" s="49"/>
      <c r="S3" s="49"/>
      <c r="T3" s="49"/>
      <c r="U3" s="49"/>
      <c r="V3" s="49"/>
      <c r="W3" s="49"/>
      <c r="X3" s="49"/>
      <c r="Y3" s="49"/>
      <c r="Z3" s="5"/>
    </row>
    <row r="4" spans="1:26" ht="16.2" thickBot="1" x14ac:dyDescent="0.35">
      <c r="B4" s="147" t="s">
        <v>48</v>
      </c>
      <c r="C4" s="148"/>
      <c r="D4" s="148"/>
      <c r="E4" s="148"/>
      <c r="F4" s="148"/>
      <c r="G4" s="149"/>
      <c r="M4" s="7"/>
      <c r="N4" s="7"/>
      <c r="O4" s="7"/>
      <c r="P4" s="142" t="s">
        <v>1</v>
      </c>
      <c r="Q4" s="142"/>
      <c r="R4" s="142"/>
      <c r="S4" s="142"/>
      <c r="T4" s="142"/>
      <c r="U4" s="142"/>
      <c r="V4" s="142"/>
      <c r="W4" s="142"/>
      <c r="X4" s="142"/>
      <c r="Y4" s="142"/>
      <c r="Z4" s="5"/>
    </row>
    <row r="5" spans="1:26" x14ac:dyDescent="0.3">
      <c r="B5" s="43" t="s">
        <v>31</v>
      </c>
      <c r="C5" s="43" t="s">
        <v>32</v>
      </c>
      <c r="D5" s="43" t="s">
        <v>33</v>
      </c>
      <c r="E5" s="43" t="s">
        <v>34</v>
      </c>
      <c r="F5" s="43" t="s">
        <v>35</v>
      </c>
      <c r="G5" s="43" t="s">
        <v>36</v>
      </c>
      <c r="M5" s="7"/>
      <c r="N5" s="7"/>
      <c r="O5" s="7"/>
      <c r="P5" s="8"/>
      <c r="Q5" s="8"/>
      <c r="R5" s="8"/>
      <c r="S5" s="8"/>
      <c r="T5" s="8"/>
      <c r="U5" s="8"/>
      <c r="V5" s="8"/>
      <c r="W5" s="8"/>
      <c r="X5" s="8"/>
      <c r="Y5" s="8"/>
      <c r="Z5" s="5"/>
    </row>
    <row r="6" spans="1:26" x14ac:dyDescent="0.3">
      <c r="B6" s="15">
        <f>Absorbances!C3</f>
        <v>0</v>
      </c>
      <c r="C6" s="15">
        <f>Absorbances!C5</f>
        <v>0</v>
      </c>
      <c r="D6" s="15">
        <f>Absorbances!C7</f>
        <v>0</v>
      </c>
      <c r="E6" s="15">
        <f>Absorbances!C9</f>
        <v>0</v>
      </c>
      <c r="F6" s="15">
        <f>Absorbances!D3</f>
        <v>0</v>
      </c>
      <c r="G6" s="15">
        <f>Absorbances!D5</f>
        <v>0</v>
      </c>
      <c r="M6" s="9">
        <v>5.8999999999999997E-2</v>
      </c>
      <c r="N6" s="7"/>
      <c r="O6" s="7"/>
      <c r="P6" s="150" t="s">
        <v>3</v>
      </c>
      <c r="Q6" s="151"/>
      <c r="R6" s="151"/>
      <c r="S6" s="151"/>
      <c r="T6" s="151"/>
      <c r="U6" s="151"/>
      <c r="V6" s="151"/>
      <c r="W6" s="151"/>
      <c r="X6" s="151"/>
      <c r="Y6" s="151"/>
      <c r="Z6" s="5"/>
    </row>
    <row r="7" spans="1:26" x14ac:dyDescent="0.3">
      <c r="B7" s="15">
        <f>Absorbances!C4</f>
        <v>0</v>
      </c>
      <c r="C7" s="15">
        <f>Absorbances!C6</f>
        <v>0</v>
      </c>
      <c r="D7" s="15">
        <f>Absorbances!C8</f>
        <v>0</v>
      </c>
      <c r="E7" s="15">
        <f>Absorbances!C10</f>
        <v>0</v>
      </c>
      <c r="F7" s="15">
        <f>Absorbances!D4</f>
        <v>0</v>
      </c>
      <c r="G7" s="15">
        <f>Absorbances!D6</f>
        <v>0</v>
      </c>
      <c r="M7" s="9">
        <v>6.0999999999999999E-2</v>
      </c>
      <c r="N7" s="7"/>
      <c r="O7" s="7"/>
      <c r="P7" s="142" t="s">
        <v>22</v>
      </c>
      <c r="Q7" s="142"/>
      <c r="R7" s="142"/>
      <c r="S7" s="142"/>
      <c r="T7" s="142"/>
      <c r="U7" s="142"/>
      <c r="V7" s="142"/>
      <c r="W7" s="142"/>
      <c r="X7" s="142"/>
      <c r="Y7" s="142"/>
      <c r="Z7" s="5"/>
    </row>
    <row r="8" spans="1:26" x14ac:dyDescent="0.3">
      <c r="M8" s="8"/>
      <c r="N8" s="7"/>
      <c r="O8" s="7"/>
      <c r="P8" s="142" t="s">
        <v>2</v>
      </c>
      <c r="Q8" s="142"/>
      <c r="R8" s="142"/>
      <c r="S8" s="142"/>
      <c r="T8" s="142"/>
      <c r="U8" s="142"/>
      <c r="V8" s="142"/>
      <c r="W8" s="142"/>
      <c r="X8" s="142"/>
      <c r="Y8" s="142"/>
      <c r="Z8" s="5"/>
    </row>
    <row r="9" spans="1:26" x14ac:dyDescent="0.3">
      <c r="M9" s="8"/>
      <c r="N9" s="7"/>
      <c r="O9" s="7"/>
      <c r="P9" s="142" t="s">
        <v>15</v>
      </c>
      <c r="Q9" s="142"/>
      <c r="R9" s="142"/>
      <c r="S9" s="142"/>
      <c r="T9" s="142"/>
      <c r="U9" s="142"/>
      <c r="V9" s="142"/>
      <c r="W9" s="142"/>
      <c r="X9" s="142"/>
      <c r="Y9" s="142"/>
      <c r="Z9" s="5"/>
    </row>
    <row r="10" spans="1:26" x14ac:dyDescent="0.3">
      <c r="M10" s="7"/>
      <c r="N10" s="7"/>
      <c r="O10" s="7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5"/>
    </row>
    <row r="11" spans="1:26" x14ac:dyDescent="0.3">
      <c r="M11" s="7"/>
      <c r="N11" s="7"/>
      <c r="O11" s="7"/>
      <c r="P11" s="8"/>
      <c r="Q11" s="8"/>
      <c r="R11" s="8"/>
      <c r="S11" s="8"/>
      <c r="T11" s="8"/>
      <c r="U11" s="8"/>
      <c r="V11" s="8"/>
      <c r="W11" s="8"/>
      <c r="X11" s="8"/>
      <c r="Y11" s="8"/>
      <c r="Z11" s="5"/>
    </row>
    <row r="12" spans="1:26" x14ac:dyDescent="0.3">
      <c r="M12" s="7"/>
      <c r="N12" s="7"/>
      <c r="O12" s="7"/>
      <c r="P12" s="146" t="s">
        <v>76</v>
      </c>
      <c r="Q12" s="142"/>
      <c r="R12" s="142"/>
      <c r="S12" s="142"/>
      <c r="T12" s="142"/>
      <c r="U12" s="142"/>
      <c r="V12" s="142"/>
      <c r="W12" s="142"/>
      <c r="X12" s="142"/>
      <c r="Y12" s="142"/>
      <c r="Z12" s="5"/>
    </row>
    <row r="13" spans="1:26" x14ac:dyDescent="0.3">
      <c r="M13" s="7"/>
      <c r="N13" s="7"/>
      <c r="O13" s="7"/>
      <c r="P13" s="158" t="s">
        <v>16</v>
      </c>
      <c r="Q13" s="142"/>
      <c r="R13" s="142"/>
      <c r="S13" s="142"/>
      <c r="T13" s="142"/>
      <c r="U13" s="142"/>
      <c r="V13" s="142"/>
      <c r="W13" s="142"/>
      <c r="X13" s="142"/>
      <c r="Y13" s="142"/>
      <c r="Z13" s="5"/>
    </row>
    <row r="14" spans="1:26" x14ac:dyDescent="0.3">
      <c r="M14" s="7"/>
      <c r="N14" s="7"/>
      <c r="O14" s="7"/>
      <c r="P14" s="142" t="s">
        <v>24</v>
      </c>
      <c r="Q14" s="142"/>
      <c r="R14" s="142"/>
      <c r="S14" s="142"/>
      <c r="T14" s="142"/>
      <c r="U14" s="142"/>
      <c r="V14" s="142"/>
      <c r="W14" s="142"/>
      <c r="X14" s="142"/>
      <c r="Y14" s="142"/>
      <c r="Z14" s="5"/>
    </row>
    <row r="15" spans="1:26" x14ac:dyDescent="0.3">
      <c r="M15" s="7"/>
      <c r="N15" s="7"/>
      <c r="O15" s="7"/>
      <c r="P15" s="159" t="s">
        <v>17</v>
      </c>
      <c r="Q15" s="142"/>
      <c r="R15" s="142"/>
      <c r="S15" s="142"/>
      <c r="T15" s="142"/>
      <c r="U15" s="142"/>
      <c r="V15" s="142"/>
      <c r="W15" s="142"/>
      <c r="X15" s="142"/>
      <c r="Y15" s="142"/>
      <c r="Z15" s="5"/>
    </row>
    <row r="16" spans="1:26" x14ac:dyDescent="0.3">
      <c r="M16" s="7"/>
      <c r="N16" s="7"/>
      <c r="O16" s="7"/>
      <c r="P16" s="8"/>
      <c r="Q16" s="8"/>
      <c r="R16" s="8"/>
      <c r="S16" s="8"/>
      <c r="T16" s="8"/>
      <c r="U16" s="8"/>
      <c r="V16" s="8"/>
      <c r="W16" s="8"/>
      <c r="X16" s="8"/>
      <c r="Y16" s="8"/>
      <c r="Z16" s="5"/>
    </row>
    <row r="17" spans="2:26" x14ac:dyDescent="0.3">
      <c r="M17" s="7"/>
      <c r="N17" s="7"/>
      <c r="O17" s="7"/>
      <c r="P17" s="142" t="s">
        <v>77</v>
      </c>
      <c r="Q17" s="142"/>
      <c r="R17" s="142"/>
      <c r="S17" s="142"/>
      <c r="T17" s="142"/>
      <c r="U17" s="142"/>
      <c r="V17" s="142"/>
      <c r="W17" s="142"/>
      <c r="X17" s="142"/>
      <c r="Y17" s="142"/>
      <c r="Z17" s="5"/>
    </row>
    <row r="18" spans="2:26" ht="16.2" thickBot="1" x14ac:dyDescent="0.35">
      <c r="M18" s="7"/>
      <c r="N18" s="7"/>
      <c r="O18" s="7"/>
      <c r="P18" s="8"/>
      <c r="Q18" s="8"/>
      <c r="R18" s="8"/>
      <c r="S18" s="8"/>
      <c r="T18" s="8"/>
      <c r="U18" s="8"/>
      <c r="V18" s="8"/>
      <c r="W18" s="8"/>
      <c r="X18" s="8"/>
      <c r="Y18" s="8"/>
      <c r="Z18" s="5"/>
    </row>
    <row r="19" spans="2:26" ht="16.2" thickBot="1" x14ac:dyDescent="0.35">
      <c r="B19" s="136" t="s">
        <v>46</v>
      </c>
      <c r="C19" s="137"/>
      <c r="D19" s="137"/>
      <c r="E19" s="137"/>
      <c r="F19" s="137"/>
      <c r="G19" s="137"/>
      <c r="H19" s="138"/>
      <c r="M19" s="7"/>
      <c r="N19" s="7"/>
      <c r="O19" s="7"/>
      <c r="P19" s="8"/>
      <c r="Q19" s="8"/>
      <c r="R19" s="8"/>
      <c r="S19" s="8"/>
      <c r="T19" s="8"/>
      <c r="U19" s="8"/>
      <c r="V19" s="8"/>
      <c r="W19" s="8"/>
      <c r="X19" s="8"/>
      <c r="Y19" s="8"/>
      <c r="Z19" s="5"/>
    </row>
    <row r="20" spans="2:26" x14ac:dyDescent="0.3">
      <c r="B20" s="44" t="s">
        <v>41</v>
      </c>
      <c r="C20" s="44" t="s">
        <v>4</v>
      </c>
      <c r="D20" s="44" t="s">
        <v>5</v>
      </c>
      <c r="E20" s="45" t="s">
        <v>6</v>
      </c>
      <c r="F20" s="43" t="s">
        <v>23</v>
      </c>
      <c r="G20" s="43" t="s">
        <v>27</v>
      </c>
      <c r="H20" s="43" t="s">
        <v>28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2:26" x14ac:dyDescent="0.3">
      <c r="B21" s="46">
        <v>0</v>
      </c>
      <c r="C21" s="12">
        <f>(B6+B7)/2</f>
        <v>0</v>
      </c>
      <c r="D21" s="12">
        <f t="shared" ref="D21:D26" si="0">($C$30-$C$33)/(1+(B21/$C$32)^$C$31)+$C$33</f>
        <v>1.2178788791896304</v>
      </c>
      <c r="E21" s="14">
        <f t="shared" ref="E21:E26" si="1">(C21-D21)^2</f>
        <v>1.4832289643761905</v>
      </c>
      <c r="F21" s="11"/>
      <c r="G21" s="12">
        <f>STDEV(B6,B7)</f>
        <v>0</v>
      </c>
      <c r="H21" s="12" t="e">
        <f t="shared" ref="H21:H26" si="2">(G21/C21)*100</f>
        <v>#DIV/0!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2:26" x14ac:dyDescent="0.3">
      <c r="B22" s="46">
        <v>0.15</v>
      </c>
      <c r="C22" s="12">
        <f>(C6+C7)/2</f>
        <v>0</v>
      </c>
      <c r="D22" s="12">
        <f t="shared" si="0"/>
        <v>1.1181827072089388</v>
      </c>
      <c r="E22" s="14">
        <f t="shared" si="1"/>
        <v>1.2503325667011111</v>
      </c>
      <c r="F22" s="12" t="e">
        <f>C22/C$21</f>
        <v>#DIV/0!</v>
      </c>
      <c r="G22" s="12">
        <f>STDEV(C6,C7)</f>
        <v>0</v>
      </c>
      <c r="H22" s="12" t="e">
        <f t="shared" si="2"/>
        <v>#DIV/0!</v>
      </c>
      <c r="M22" s="5"/>
      <c r="N22" s="5"/>
      <c r="O22" s="5"/>
      <c r="P22" s="5"/>
      <c r="Q22" s="5" t="s">
        <v>20</v>
      </c>
      <c r="R22" s="5" t="s">
        <v>25</v>
      </c>
      <c r="S22" s="5" t="s">
        <v>21</v>
      </c>
      <c r="T22" s="5"/>
      <c r="U22" s="5"/>
      <c r="V22" s="5"/>
      <c r="W22" s="5"/>
      <c r="X22" s="5"/>
      <c r="Y22" s="5"/>
      <c r="Z22" s="5"/>
    </row>
    <row r="23" spans="2:26" x14ac:dyDescent="0.3">
      <c r="B23" s="46">
        <v>0.4</v>
      </c>
      <c r="C23" s="12">
        <f>(D6+D7)/2</f>
        <v>0</v>
      </c>
      <c r="D23" s="12">
        <f t="shared" si="0"/>
        <v>0.9508786377953744</v>
      </c>
      <c r="E23" s="14">
        <f t="shared" si="1"/>
        <v>0.90417018381558678</v>
      </c>
      <c r="F23" s="12" t="e">
        <f>C23/C$21</f>
        <v>#DIV/0!</v>
      </c>
      <c r="G23" s="12">
        <f>STDEV(D6,D7)</f>
        <v>0</v>
      </c>
      <c r="H23" s="12" t="e">
        <f t="shared" si="2"/>
        <v>#DIV/0!</v>
      </c>
      <c r="M23" s="5"/>
      <c r="N23" s="5"/>
      <c r="O23" s="5"/>
      <c r="P23" s="5" t="s">
        <v>18</v>
      </c>
      <c r="Q23" s="5">
        <f>$C$33+($C$30-$C$33)*20/100</f>
        <v>0.43857580498458076</v>
      </c>
      <c r="R23" s="5">
        <f>C32*((C30-Q23)/(Q23-C33))^(1/C31)</f>
        <v>2.7647092413501784</v>
      </c>
      <c r="S23" s="5"/>
      <c r="T23" s="5"/>
      <c r="U23" s="5"/>
      <c r="V23" s="5"/>
      <c r="W23" s="5"/>
      <c r="X23" s="5"/>
      <c r="Y23" s="5"/>
      <c r="Z23" s="5"/>
    </row>
    <row r="24" spans="2:26" x14ac:dyDescent="0.3">
      <c r="B24" s="46">
        <v>1</v>
      </c>
      <c r="C24" s="12">
        <f>(E6+E7)/2</f>
        <v>0</v>
      </c>
      <c r="D24" s="12">
        <f t="shared" si="0"/>
        <v>0.69563002138669705</v>
      </c>
      <c r="E24" s="14">
        <f t="shared" si="1"/>
        <v>0.48390112665445661</v>
      </c>
      <c r="F24" s="12" t="e">
        <f>C24/C$21</f>
        <v>#DIV/0!</v>
      </c>
      <c r="G24" s="12">
        <f>STDEV(E6,E7)</f>
        <v>0</v>
      </c>
      <c r="H24" s="12" t="e">
        <f t="shared" si="2"/>
        <v>#DIV/0!</v>
      </c>
      <c r="M24" s="5"/>
      <c r="N24" s="5"/>
      <c r="O24" s="5"/>
      <c r="P24" s="5" t="s">
        <v>19</v>
      </c>
      <c r="Q24" s="5">
        <f>$C$33+($C$30-$C$33)*80/100</f>
        <v>1.023053110638368</v>
      </c>
      <c r="R24" s="5">
        <f>C32*((C30-Q24)/(Q24-C33))^(1/C31)</f>
        <v>0.28535513738116747</v>
      </c>
      <c r="S24" s="5"/>
      <c r="T24" s="5"/>
      <c r="U24" s="5"/>
      <c r="V24" s="5"/>
      <c r="W24" s="5"/>
      <c r="X24" s="5"/>
      <c r="Y24" s="5"/>
      <c r="Z24" s="5"/>
    </row>
    <row r="25" spans="2:26" x14ac:dyDescent="0.3">
      <c r="B25" s="46">
        <v>2</v>
      </c>
      <c r="C25" s="12">
        <f>(F6+F7)/2</f>
        <v>0</v>
      </c>
      <c r="D25" s="12">
        <f t="shared" si="0"/>
        <v>0.50746395255973487</v>
      </c>
      <c r="E25" s="14">
        <f t="shared" si="1"/>
        <v>0.25751966314754882</v>
      </c>
      <c r="F25" s="12" t="e">
        <f>C25/C$21</f>
        <v>#DIV/0!</v>
      </c>
      <c r="G25" s="12">
        <f>STDEV(F6,F7)</f>
        <v>0</v>
      </c>
      <c r="H25" s="12" t="e">
        <f t="shared" si="2"/>
        <v>#DIV/0!</v>
      </c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2:26" x14ac:dyDescent="0.3">
      <c r="B26" s="46">
        <v>5</v>
      </c>
      <c r="C26" s="12">
        <f>(G6+G7)/2</f>
        <v>0</v>
      </c>
      <c r="D26" s="12">
        <f t="shared" si="0"/>
        <v>0.34911183279214197</v>
      </c>
      <c r="E26" s="14">
        <f t="shared" si="1"/>
        <v>0.1218790717954885</v>
      </c>
      <c r="F26" s="12" t="e">
        <f>C26/C$21</f>
        <v>#DIV/0!</v>
      </c>
      <c r="G26" s="12">
        <f>STDEV(G6,G7)</f>
        <v>0</v>
      </c>
      <c r="H26" s="12" t="e">
        <f t="shared" si="2"/>
        <v>#DIV/0!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2:26" x14ac:dyDescent="0.3">
      <c r="B27" s="10" t="s">
        <v>30</v>
      </c>
      <c r="C27" s="2"/>
      <c r="D27" s="2"/>
      <c r="E27" s="14">
        <f>SUM(E21:E26)</f>
        <v>4.5010315764903828</v>
      </c>
    </row>
    <row r="29" spans="2:26" x14ac:dyDescent="0.3">
      <c r="B29" s="1" t="s">
        <v>7</v>
      </c>
      <c r="E29" s="10" t="s">
        <v>29</v>
      </c>
    </row>
    <row r="30" spans="2:26" x14ac:dyDescent="0.3">
      <c r="B30" s="3" t="s">
        <v>8</v>
      </c>
      <c r="C30" s="47">
        <v>1.2178788791896304</v>
      </c>
      <c r="D30" s="4" t="s">
        <v>9</v>
      </c>
      <c r="E30" s="13" t="e">
        <f>(CORREL(C21:C26,D21:D26))^2</f>
        <v>#DIV/0!</v>
      </c>
    </row>
    <row r="31" spans="2:26" x14ac:dyDescent="0.3">
      <c r="B31" s="3" t="s">
        <v>10</v>
      </c>
      <c r="C31" s="47">
        <v>1.2208904161146736</v>
      </c>
      <c r="D31" s="4" t="s">
        <v>11</v>
      </c>
      <c r="G31" s="36"/>
    </row>
    <row r="32" spans="2:26" ht="16.5" customHeight="1" x14ac:dyDescent="0.3">
      <c r="B32" s="3" t="s">
        <v>12</v>
      </c>
      <c r="C32" s="47">
        <v>0.88821392996533399</v>
      </c>
      <c r="D32" s="4" t="s">
        <v>26</v>
      </c>
      <c r="G32" s="36"/>
    </row>
    <row r="33" spans="1:20" x14ac:dyDescent="0.3">
      <c r="B33" s="3" t="s">
        <v>13</v>
      </c>
      <c r="C33" s="47">
        <v>0.24375003643331836</v>
      </c>
      <c r="D33" s="4" t="s">
        <v>14</v>
      </c>
      <c r="G33" s="36"/>
    </row>
    <row r="35" spans="1:20" ht="16.2" thickBot="1" x14ac:dyDescent="0.35"/>
    <row r="36" spans="1:20" ht="16.2" thickBot="1" x14ac:dyDescent="0.35">
      <c r="A36" s="136" t="s">
        <v>47</v>
      </c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8"/>
      <c r="N36" s="42"/>
    </row>
    <row r="37" spans="1:20" ht="47.4" thickBot="1" x14ac:dyDescent="0.35">
      <c r="A37" s="83" t="s">
        <v>74</v>
      </c>
      <c r="B37" s="84" t="s">
        <v>44</v>
      </c>
      <c r="C37" s="85" t="s">
        <v>54</v>
      </c>
      <c r="D37" s="85" t="s">
        <v>51</v>
      </c>
      <c r="E37" s="86" t="s">
        <v>37</v>
      </c>
      <c r="F37" s="87" t="s">
        <v>27</v>
      </c>
      <c r="G37" s="87" t="s">
        <v>28</v>
      </c>
      <c r="H37" s="88" t="s">
        <v>42</v>
      </c>
      <c r="I37" s="88" t="s">
        <v>43</v>
      </c>
      <c r="J37" s="85" t="s">
        <v>49</v>
      </c>
      <c r="K37" s="139" t="s">
        <v>40</v>
      </c>
      <c r="L37" s="140"/>
      <c r="M37" s="141"/>
      <c r="N37" s="27"/>
      <c r="Q37" s="34"/>
      <c r="R37" s="34"/>
    </row>
    <row r="38" spans="1:20" ht="16.5" customHeight="1" x14ac:dyDescent="0.3">
      <c r="A38" s="172">
        <v>1</v>
      </c>
      <c r="B38" s="122" t="str">
        <f>Absorbances!D18</f>
        <v>Control</v>
      </c>
      <c r="C38" s="74"/>
      <c r="D38" s="75" t="s">
        <v>75</v>
      </c>
      <c r="E38" s="75">
        <f>Absorbances!$D$7</f>
        <v>0</v>
      </c>
      <c r="F38" s="76"/>
      <c r="G38" s="76"/>
      <c r="H38" s="77" t="str">
        <f t="shared" ref="H38:H69" si="3">IF(ISBLANK(E38),"",IF(E38&lt;=$C$33,"Invalid",IF(E38&gt;=$C$30,"Invalid",$C$32*(($C$30-E38)/(E38-$C$33))^(1/$C$31))))</f>
        <v>Invalid</v>
      </c>
      <c r="I38" s="78"/>
      <c r="J38" s="79">
        <v>1</v>
      </c>
      <c r="K38" s="152" t="str">
        <f>IF(AND(ISBLANK(E38),ISBLANK(E39)),"",IF(AVERAGE($E38:$E39)&gt;$D$22,"LESS than Standard 1, outside of quantifiable range",IF(AVERAGE($E38:$E39)&lt;$D$26,"GREATER than Standard 5, outside of quantifiable range","")))</f>
        <v>GREATER than Standard 5, outside of quantifiable range</v>
      </c>
      <c r="L38" s="153"/>
      <c r="M38" s="154"/>
    </row>
    <row r="39" spans="1:20" ht="16.2" thickBot="1" x14ac:dyDescent="0.35">
      <c r="A39" s="173"/>
      <c r="B39" s="123" t="str">
        <f>Absorbances!D19</f>
        <v>Control</v>
      </c>
      <c r="C39" s="65"/>
      <c r="D39" s="24" t="s">
        <v>75</v>
      </c>
      <c r="E39" s="24">
        <f>Absorbances!D8</f>
        <v>0</v>
      </c>
      <c r="F39" s="25">
        <f>IF(OR(ISBLANK(E38),ISBLANK(E39)),"",STDEV(E38,E39))</f>
        <v>0</v>
      </c>
      <c r="G39" s="25" t="e">
        <f>IF(ISTEXT(F39),"",F39/((E38+E39)/2)*100)</f>
        <v>#DIV/0!</v>
      </c>
      <c r="H39" s="31" t="str">
        <f t="shared" si="3"/>
        <v>Invalid</v>
      </c>
      <c r="I39" s="39" t="str">
        <f>IF(AND(ISBLANK(E38),ISBLANK(E39)),"",IF(OR(ISBLANK(E39),ISBLANK(E38)),AVERAGE(H38:H39),IF(OR(ISTEXT(H38),ISTEXT(H39)),"Invalid",AVERAGE(H38:H39))))</f>
        <v>Invalid</v>
      </c>
      <c r="J39" s="35">
        <v>1</v>
      </c>
      <c r="K39" s="155"/>
      <c r="L39" s="156"/>
      <c r="M39" s="157"/>
    </row>
    <row r="40" spans="1:20" ht="16.5" customHeight="1" thickTop="1" x14ac:dyDescent="0.3">
      <c r="A40" s="172">
        <v>2</v>
      </c>
      <c r="B40" s="122" t="str">
        <f>Absorbances!D20</f>
        <v>Muddy_Creek_T</v>
      </c>
      <c r="C40" s="74"/>
      <c r="D40" s="75" t="s">
        <v>52</v>
      </c>
      <c r="E40" s="75">
        <f>Absorbances!D9</f>
        <v>0</v>
      </c>
      <c r="F40" s="17"/>
      <c r="G40" s="17"/>
      <c r="H40" s="32" t="str">
        <f t="shared" si="3"/>
        <v>Invalid</v>
      </c>
      <c r="I40" s="37"/>
      <c r="J40" s="38">
        <v>1</v>
      </c>
      <c r="K40" s="160" t="str">
        <f>IF(AND(ISBLANK(E40),ISBLANK(E41)),"",IF(AVERAGE($E40:$E41)&gt;$D$22,"LESS than Standard 1, outside of quantifiable range",IF(AVERAGE($E40:$E41)&lt;$D$26,"GREATER than Standard 5, outside of quantifiable range","")))</f>
        <v>GREATER than Standard 5, outside of quantifiable range</v>
      </c>
      <c r="L40" s="161"/>
      <c r="M40" s="162"/>
    </row>
    <row r="41" spans="1:20" ht="16.2" thickBot="1" x14ac:dyDescent="0.35">
      <c r="A41" s="173"/>
      <c r="B41" s="123" t="str">
        <f>Absorbances!D21</f>
        <v>Muddy_Creek_T</v>
      </c>
      <c r="C41" s="65"/>
      <c r="D41" s="24" t="s">
        <v>52</v>
      </c>
      <c r="E41" s="24">
        <f>Absorbances!D10</f>
        <v>0</v>
      </c>
      <c r="F41" s="25">
        <f>IF(OR(ISBLANK(E40),ISBLANK(E41)),"",STDEV(E40,E41))</f>
        <v>0</v>
      </c>
      <c r="G41" s="25" t="e">
        <f>IF(ISTEXT(F41),"",F41/((E40+E41)/2)*100)</f>
        <v>#DIV/0!</v>
      </c>
      <c r="H41" s="32" t="str">
        <f t="shared" si="3"/>
        <v>Invalid</v>
      </c>
      <c r="I41" s="35" t="str">
        <f>IF(AND(ISBLANK(E40),ISBLANK(E41)),"",IF(OR(ISBLANK(E41),ISBLANK(E40)),AVERAGE(H40:H41),IF(OR(ISTEXT(H40),ISTEXT(H41)),"Invalid",AVERAGE(H40:H41))))</f>
        <v>Invalid</v>
      </c>
      <c r="J41" s="35">
        <v>1</v>
      </c>
      <c r="K41" s="155"/>
      <c r="L41" s="156"/>
      <c r="M41" s="157"/>
      <c r="S41" s="6"/>
      <c r="T41" s="5"/>
    </row>
    <row r="42" spans="1:20" ht="16.5" customHeight="1" thickTop="1" x14ac:dyDescent="0.3">
      <c r="A42" s="172">
        <v>3</v>
      </c>
      <c r="B42" s="124" t="str">
        <f>Absorbances!E14</f>
        <v>Muddy_Creek_D</v>
      </c>
      <c r="C42" s="64"/>
      <c r="D42" s="22" t="s">
        <v>53</v>
      </c>
      <c r="E42" s="75">
        <f>Absorbances!E3</f>
        <v>0</v>
      </c>
      <c r="F42" s="23"/>
      <c r="G42" s="23"/>
      <c r="H42" s="40" t="str">
        <f t="shared" si="3"/>
        <v>Invalid</v>
      </c>
      <c r="I42" s="38"/>
      <c r="J42" s="38">
        <v>1</v>
      </c>
      <c r="K42" s="160" t="str">
        <f>IF(AND(ISBLANK(E42),ISBLANK(E43)),"",IF(AVERAGE($E42:$E43)&gt;$D$22,"LESS than Standard 1, outside of quantifiable range",IF(AVERAGE($E42:$E43)&lt;$D$26,"GREATER than Standard 5, outside of quantifiable range","")))</f>
        <v>GREATER than Standard 5, outside of quantifiable range</v>
      </c>
      <c r="L42" s="161"/>
      <c r="M42" s="162"/>
      <c r="S42" s="6"/>
      <c r="T42" s="5"/>
    </row>
    <row r="43" spans="1:20" ht="16.2" thickBot="1" x14ac:dyDescent="0.35">
      <c r="A43" s="173"/>
      <c r="B43" s="125" t="str">
        <f>Absorbances!E15</f>
        <v>Muddy_Creek_D</v>
      </c>
      <c r="C43" s="65"/>
      <c r="D43" s="24" t="s">
        <v>53</v>
      </c>
      <c r="E43" s="24">
        <f>Absorbances!E4</f>
        <v>0</v>
      </c>
      <c r="F43" s="25">
        <f>IF(OR(ISBLANK(E42),ISBLANK(E43)),"",STDEV(E42,E43))</f>
        <v>0</v>
      </c>
      <c r="G43" s="25" t="e">
        <f>IF(ISTEXT(F43),"",F43/((E42+E43)/2)*100)</f>
        <v>#DIV/0!</v>
      </c>
      <c r="H43" s="31" t="str">
        <f t="shared" si="3"/>
        <v>Invalid</v>
      </c>
      <c r="I43" s="35" t="str">
        <f>IF(AND(ISBLANK(E42),ISBLANK(E43)),"",IF(OR(ISBLANK(E43),ISBLANK(E42)),AVERAGE(H42:H43),IF(OR(ISTEXT(H42),ISTEXT(H43)),"Invalid",AVERAGE(H42:H43))))</f>
        <v>Invalid</v>
      </c>
      <c r="J43" s="35">
        <v>1</v>
      </c>
      <c r="K43" s="155"/>
      <c r="L43" s="156"/>
      <c r="M43" s="157"/>
      <c r="S43" s="6"/>
      <c r="T43" s="5"/>
    </row>
    <row r="44" spans="1:20" ht="16.5" customHeight="1" thickTop="1" x14ac:dyDescent="0.3">
      <c r="A44" s="172">
        <v>4</v>
      </c>
      <c r="B44" s="126" t="str">
        <f>Absorbances!E16</f>
        <v>ODNR_4_T</v>
      </c>
      <c r="C44" s="64"/>
      <c r="D44" s="22" t="s">
        <v>52</v>
      </c>
      <c r="E44" s="75">
        <f>Absorbances!E5</f>
        <v>0</v>
      </c>
      <c r="F44" s="17"/>
      <c r="G44" s="17"/>
      <c r="H44" s="40" t="str">
        <f t="shared" si="3"/>
        <v>Invalid</v>
      </c>
      <c r="I44" s="37"/>
      <c r="J44" s="38">
        <v>1</v>
      </c>
      <c r="K44" s="160" t="str">
        <f>IF(AND(ISBLANK(E44),ISBLANK(E45)),"",IF(AVERAGE($E44:$E45)&gt;$D$22,"LESS than Standard 1, outside of quantifiable range",IF(AVERAGE($E44:$E45)&lt;$D$26,"GREATER than Standard 5, outside of quantifiable range","")))</f>
        <v>GREATER than Standard 5, outside of quantifiable range</v>
      </c>
      <c r="L44" s="161"/>
      <c r="M44" s="162"/>
      <c r="S44" s="6"/>
      <c r="T44" s="5"/>
    </row>
    <row r="45" spans="1:20" ht="16.2" thickBot="1" x14ac:dyDescent="0.35">
      <c r="A45" s="173"/>
      <c r="B45" s="123" t="str">
        <f>Absorbances!E17</f>
        <v>ODNR_4_T</v>
      </c>
      <c r="C45" s="65"/>
      <c r="D45" s="24" t="s">
        <v>52</v>
      </c>
      <c r="E45" s="24">
        <f>Absorbances!E6</f>
        <v>0</v>
      </c>
      <c r="F45" s="25">
        <f>IF(OR(ISBLANK(E44),ISBLANK(E45)),"",STDEV(E44,E45))</f>
        <v>0</v>
      </c>
      <c r="G45" s="25" t="e">
        <f>IF(ISTEXT(F45),"",F45/((E44+E45)/2)*100)</f>
        <v>#DIV/0!</v>
      </c>
      <c r="H45" s="31" t="str">
        <f t="shared" si="3"/>
        <v>Invalid</v>
      </c>
      <c r="I45" s="35" t="str">
        <f>IF(AND(ISBLANK(E44),ISBLANK(E45)),"",IF(OR(ISBLANK(E45),ISBLANK(E44)),AVERAGE(H44:H45),IF(OR(ISTEXT(H44),ISTEXT(H45)),"Invalid",AVERAGE(H44:H45))))</f>
        <v>Invalid</v>
      </c>
      <c r="J45" s="35">
        <v>1</v>
      </c>
      <c r="K45" s="155"/>
      <c r="L45" s="156"/>
      <c r="M45" s="157"/>
      <c r="S45" s="6"/>
      <c r="T45" s="5"/>
    </row>
    <row r="46" spans="1:20" ht="16.5" customHeight="1" thickTop="1" x14ac:dyDescent="0.3">
      <c r="A46" s="172">
        <v>5</v>
      </c>
      <c r="B46" s="126" t="str">
        <f>Absorbances!E18</f>
        <v>ODNR_4_D</v>
      </c>
      <c r="C46" s="64"/>
      <c r="D46" s="22" t="s">
        <v>53</v>
      </c>
      <c r="E46" s="75">
        <f>Absorbances!E7</f>
        <v>0</v>
      </c>
      <c r="F46" s="23"/>
      <c r="G46" s="23"/>
      <c r="H46" s="40" t="str">
        <f t="shared" si="3"/>
        <v>Invalid</v>
      </c>
      <c r="I46" s="38"/>
      <c r="J46" s="38">
        <v>1</v>
      </c>
      <c r="K46" s="160" t="str">
        <f>IF(AND(ISBLANK(E46),ISBLANK(E47)),"",IF(AVERAGE($E46:$E47)&gt;$D$22,"LESS than Standard 1, outside of quantifiable range",IF(AVERAGE($E46:$E47)&lt;$D$26,"GREATER than Standard 5, outside of quantifiable range","")))</f>
        <v>GREATER than Standard 5, outside of quantifiable range</v>
      </c>
      <c r="L46" s="161"/>
      <c r="M46" s="162"/>
      <c r="S46" s="6"/>
      <c r="T46" s="5"/>
    </row>
    <row r="47" spans="1:20" ht="16.2" thickBot="1" x14ac:dyDescent="0.35">
      <c r="A47" s="173"/>
      <c r="B47" s="123" t="str">
        <f>Absorbances!E19</f>
        <v>ODNR_4_D</v>
      </c>
      <c r="C47" s="65"/>
      <c r="D47" s="24" t="s">
        <v>53</v>
      </c>
      <c r="E47" s="24">
        <f>Absorbances!E8</f>
        <v>0</v>
      </c>
      <c r="F47" s="25">
        <f>IF(OR(ISBLANK(E46),ISBLANK(E47)),"",STDEV(E46,E47))</f>
        <v>0</v>
      </c>
      <c r="G47" s="25" t="e">
        <f>IF(ISTEXT(F47),"",F47/((E46+E47)/2)*100)</f>
        <v>#DIV/0!</v>
      </c>
      <c r="H47" s="31" t="str">
        <f t="shared" si="3"/>
        <v>Invalid</v>
      </c>
      <c r="I47" s="35" t="str">
        <f>IF(AND(ISBLANK(E46),ISBLANK(E47)),"",IF(OR(ISBLANK(E47),ISBLANK(E46)),AVERAGE(H46:H47),IF(OR(ISTEXT(H46),ISTEXT(H47)),"Invalid",AVERAGE(H46:H47))))</f>
        <v>Invalid</v>
      </c>
      <c r="J47" s="35">
        <v>1</v>
      </c>
      <c r="K47" s="155"/>
      <c r="L47" s="156"/>
      <c r="M47" s="157"/>
      <c r="S47" s="6"/>
      <c r="T47" s="5"/>
    </row>
    <row r="48" spans="1:20" ht="16.2" thickTop="1" x14ac:dyDescent="0.3">
      <c r="A48" s="172">
        <v>6</v>
      </c>
      <c r="B48" s="124" t="str">
        <f>Absorbances!E20</f>
        <v>ODNR_6_T</v>
      </c>
      <c r="C48" s="64"/>
      <c r="D48" s="22" t="s">
        <v>52</v>
      </c>
      <c r="E48" s="75">
        <f>Absorbances!E9</f>
        <v>0</v>
      </c>
      <c r="F48" s="17"/>
      <c r="G48" s="17"/>
      <c r="H48" s="30" t="str">
        <f t="shared" si="3"/>
        <v>Invalid</v>
      </c>
      <c r="I48" s="37"/>
      <c r="J48" s="38">
        <v>1</v>
      </c>
      <c r="K48" s="160" t="str">
        <f>IF(AND(ISBLANK(E48),ISBLANK(E49)),"",IF(AVERAGE($E48:$E49)&gt;$D$22,"LESS than Standard 1, outside of quantifiable range",IF(AVERAGE($E48:$E49)&lt;$D$26,"GREATER than Standard 5, outside of quantifiable range","")))</f>
        <v>GREATER than Standard 5, outside of quantifiable range</v>
      </c>
      <c r="L48" s="161"/>
      <c r="M48" s="162"/>
      <c r="S48" s="6"/>
      <c r="T48" s="5"/>
    </row>
    <row r="49" spans="1:20" ht="16.2" thickBot="1" x14ac:dyDescent="0.35">
      <c r="A49" s="173"/>
      <c r="B49" s="125" t="str">
        <f>Absorbances!E21</f>
        <v>ODNR_6_T</v>
      </c>
      <c r="C49" s="65"/>
      <c r="D49" s="24" t="s">
        <v>52</v>
      </c>
      <c r="E49" s="24">
        <f>Absorbances!E10</f>
        <v>0</v>
      </c>
      <c r="F49" s="25">
        <f>IF(OR(ISBLANK(E48),ISBLANK(E49)),"",STDEV(E48,E49))</f>
        <v>0</v>
      </c>
      <c r="G49" s="25" t="e">
        <f>IF(ISTEXT(F49),"",F49/((E48+E49)/2)*100)</f>
        <v>#DIV/0!</v>
      </c>
      <c r="H49" s="32" t="str">
        <f t="shared" si="3"/>
        <v>Invalid</v>
      </c>
      <c r="I49" s="35" t="str">
        <f>IF(AND(ISBLANK(E48),ISBLANK(E49)),"",IF(OR(ISBLANK(E49),ISBLANK(E48)),AVERAGE(H48:H49),IF(OR(ISTEXT(H48),ISTEXT(H49)),"Invalid",AVERAGE(H48:H49))))</f>
        <v>Invalid</v>
      </c>
      <c r="J49" s="35">
        <v>1</v>
      </c>
      <c r="K49" s="155"/>
      <c r="L49" s="156"/>
      <c r="M49" s="157"/>
      <c r="S49" s="6"/>
      <c r="T49" s="5"/>
    </row>
    <row r="50" spans="1:20" ht="16.2" thickTop="1" x14ac:dyDescent="0.3">
      <c r="A50" s="172">
        <v>7</v>
      </c>
      <c r="B50" s="126" t="str">
        <f>Absorbances!F14</f>
        <v>ODNR_6_D</v>
      </c>
      <c r="C50" s="64"/>
      <c r="D50" s="22" t="s">
        <v>53</v>
      </c>
      <c r="E50" s="75">
        <f>Absorbances!F3</f>
        <v>0</v>
      </c>
      <c r="F50" s="23"/>
      <c r="G50" s="23"/>
      <c r="H50" s="40" t="str">
        <f t="shared" si="3"/>
        <v>Invalid</v>
      </c>
      <c r="I50" s="38"/>
      <c r="J50" s="38">
        <v>1</v>
      </c>
      <c r="K50" s="160" t="str">
        <f>IF(AND(ISBLANK(E50),ISBLANK(E51)),"",IF(AVERAGE($E50:$E51)&gt;$D$22,"LESS than Standard 1, outside of quantifiable range",IF(AVERAGE($E50:$E51)&lt;$D$26,"GREATER than Standard 5, outside of quantifiable range","")))</f>
        <v>GREATER than Standard 5, outside of quantifiable range</v>
      </c>
      <c r="L50" s="161"/>
      <c r="M50" s="162"/>
      <c r="S50" s="6"/>
      <c r="T50" s="5"/>
    </row>
    <row r="51" spans="1:20" ht="16.2" thickBot="1" x14ac:dyDescent="0.35">
      <c r="A51" s="173"/>
      <c r="B51" s="123" t="str">
        <f>Absorbances!F15</f>
        <v>ODNR_6_D</v>
      </c>
      <c r="C51" s="65"/>
      <c r="D51" s="24" t="s">
        <v>53</v>
      </c>
      <c r="E51" s="24">
        <f>Absorbances!F4</f>
        <v>0</v>
      </c>
      <c r="F51" s="25">
        <f>IF(OR(ISBLANK(E50),ISBLANK(E51)),"",STDEV(E50,E51))</f>
        <v>0</v>
      </c>
      <c r="G51" s="25" t="e">
        <f>IF(ISTEXT(F51),"",F51/((E50+E51)/2)*100)</f>
        <v>#DIV/0!</v>
      </c>
      <c r="H51" s="31" t="str">
        <f t="shared" si="3"/>
        <v>Invalid</v>
      </c>
      <c r="I51" s="35" t="str">
        <f>IF(AND(ISBLANK(E50),ISBLANK(E51)),"",IF(OR(ISBLANK(E51),ISBLANK(E50)),AVERAGE(H50:H51),IF(OR(ISTEXT(H50),ISTEXT(H51)),"Invalid",AVERAGE(H50:H51))))</f>
        <v>Invalid</v>
      </c>
      <c r="J51" s="35">
        <v>1</v>
      </c>
      <c r="K51" s="155"/>
      <c r="L51" s="156"/>
      <c r="M51" s="157"/>
      <c r="S51" s="6"/>
      <c r="T51" s="5"/>
    </row>
    <row r="52" spans="1:20" ht="17.25" customHeight="1" thickTop="1" x14ac:dyDescent="0.3">
      <c r="A52" s="172">
        <v>8</v>
      </c>
      <c r="B52" s="126" t="str">
        <f>Absorbances!F16</f>
        <v>Bridge_T</v>
      </c>
      <c r="C52" s="64"/>
      <c r="D52" s="22" t="s">
        <v>52</v>
      </c>
      <c r="E52" s="75">
        <f>Absorbances!F5</f>
        <v>0</v>
      </c>
      <c r="F52" s="28"/>
      <c r="G52" s="17"/>
      <c r="H52" s="40" t="str">
        <f t="shared" si="3"/>
        <v>Invalid</v>
      </c>
      <c r="I52" s="37"/>
      <c r="J52" s="38">
        <v>1</v>
      </c>
      <c r="K52" s="160" t="str">
        <f>IF(AND(ISBLANK(E52),ISBLANK(E53)),"",IF(AVERAGE($E52:$E53)&gt;$D$22,"LESS than Standard 1, outside of quantifiable range",IF(AVERAGE($E52:$E53)&lt;$D$26,"GREATER than Standard 5, outside of quantifiable range","")))</f>
        <v>GREATER than Standard 5, outside of quantifiable range</v>
      </c>
      <c r="L52" s="161"/>
      <c r="M52" s="162"/>
      <c r="S52" s="6"/>
      <c r="T52" s="5"/>
    </row>
    <row r="53" spans="1:20" ht="16.2" thickBot="1" x14ac:dyDescent="0.35">
      <c r="A53" s="173"/>
      <c r="B53" s="123" t="str">
        <f>Absorbances!F17</f>
        <v>Bridge_T</v>
      </c>
      <c r="C53" s="65"/>
      <c r="D53" s="24" t="s">
        <v>52</v>
      </c>
      <c r="E53" s="24">
        <f>Absorbances!F6</f>
        <v>0</v>
      </c>
      <c r="F53" s="25">
        <f>IF(OR(ISBLANK(E52),ISBLANK(E53)),"",STDEV(E52,E53))</f>
        <v>0</v>
      </c>
      <c r="G53" s="25" t="e">
        <f>IF(ISTEXT(F53),"",F53/((E52+E53)/2)*100)</f>
        <v>#DIV/0!</v>
      </c>
      <c r="H53" s="31" t="str">
        <f t="shared" si="3"/>
        <v>Invalid</v>
      </c>
      <c r="I53" s="35" t="str">
        <f>IF(AND(ISBLANK(E52),ISBLANK(E53)),"",IF(OR(ISBLANK(E53),ISBLANK(E52)),AVERAGE(H52:H53),IF(OR(ISTEXT(H52),ISTEXT(H53)),"Invalid",AVERAGE(H52:H53))))</f>
        <v>Invalid</v>
      </c>
      <c r="J53" s="35">
        <v>1</v>
      </c>
      <c r="K53" s="155"/>
      <c r="L53" s="156"/>
      <c r="M53" s="157"/>
      <c r="S53" s="6"/>
      <c r="T53" s="5"/>
    </row>
    <row r="54" spans="1:20" ht="16.2" thickTop="1" x14ac:dyDescent="0.3">
      <c r="A54" s="172">
        <v>9</v>
      </c>
      <c r="B54" s="124" t="str">
        <f>Absorbances!F18</f>
        <v>Bridge_D</v>
      </c>
      <c r="C54" s="64"/>
      <c r="D54" s="22" t="s">
        <v>53</v>
      </c>
      <c r="E54" s="22">
        <f>Absorbances!F7</f>
        <v>0</v>
      </c>
      <c r="F54" s="23"/>
      <c r="G54" s="23"/>
      <c r="H54" s="40" t="str">
        <f t="shared" si="3"/>
        <v>Invalid</v>
      </c>
      <c r="I54" s="38"/>
      <c r="J54" s="38">
        <v>1</v>
      </c>
      <c r="K54" s="160" t="str">
        <f>IF(AND(ISBLANK(E54),ISBLANK(E55)),"",IF(AVERAGE($E54:$E55)&gt;$D$22,"LESS than Standard 1, outside of quantifiable range",IF(AVERAGE($E54:$E55)&lt;$D$26,"GREATER than Standard 5, outside of quantifiable range","")))</f>
        <v>GREATER than Standard 5, outside of quantifiable range</v>
      </c>
      <c r="L54" s="161"/>
      <c r="M54" s="162"/>
      <c r="S54" s="6"/>
      <c r="T54" s="5"/>
    </row>
    <row r="55" spans="1:20" ht="16.2" thickBot="1" x14ac:dyDescent="0.35">
      <c r="A55" s="173"/>
      <c r="B55" s="125" t="str">
        <f>Absorbances!F19</f>
        <v>Bridge_D</v>
      </c>
      <c r="C55" s="65"/>
      <c r="D55" s="24" t="s">
        <v>53</v>
      </c>
      <c r="E55" s="24">
        <f>Absorbances!F8</f>
        <v>0</v>
      </c>
      <c r="F55" s="25">
        <f>IF(OR(ISBLANK(E54),ISBLANK(E55)),"",STDEV(E54,E55))</f>
        <v>0</v>
      </c>
      <c r="G55" s="25" t="e">
        <f>IF(ISTEXT(F55),"",F55/((E54+E55)/2)*100)</f>
        <v>#DIV/0!</v>
      </c>
      <c r="H55" s="31" t="str">
        <f t="shared" si="3"/>
        <v>Invalid</v>
      </c>
      <c r="I55" s="35" t="str">
        <f>IF(AND(ISBLANK(E54),ISBLANK(E55)),"",IF(OR(ISBLANK(E55),ISBLANK(E54)),AVERAGE(H54:H55),IF(OR(ISTEXT(H54),ISTEXT(H55)),"Invalid",AVERAGE(H54:H55))))</f>
        <v>Invalid</v>
      </c>
      <c r="J55" s="35">
        <v>1</v>
      </c>
      <c r="K55" s="155"/>
      <c r="L55" s="156"/>
      <c r="M55" s="157"/>
      <c r="S55" s="6"/>
      <c r="T55" s="5"/>
    </row>
    <row r="56" spans="1:20" ht="16.2" thickTop="1" x14ac:dyDescent="0.3">
      <c r="A56" s="172">
        <v>10</v>
      </c>
      <c r="B56" s="126" t="str">
        <f>Absorbances!F20</f>
        <v>ODNR_2_T</v>
      </c>
      <c r="C56" s="64"/>
      <c r="D56" s="22" t="s">
        <v>52</v>
      </c>
      <c r="E56" s="16">
        <f>Absorbances!F9</f>
        <v>0</v>
      </c>
      <c r="F56" s="17"/>
      <c r="G56" s="17"/>
      <c r="H56" s="40" t="str">
        <f t="shared" si="3"/>
        <v>Invalid</v>
      </c>
      <c r="I56" s="37"/>
      <c r="J56" s="38">
        <v>1</v>
      </c>
      <c r="K56" s="160" t="str">
        <f>IF(AND(ISBLANK(E56),ISBLANK(E57)),"",IF(AVERAGE($E56:$E57)&gt;$D$22,"LESS than Standard 1, outside of quantifiable range",IF(AVERAGE($E56:$E57)&lt;$D$26,"GREATER than Standard 5, outside of quantifiable range","")))</f>
        <v>GREATER than Standard 5, outside of quantifiable range</v>
      </c>
      <c r="L56" s="161"/>
      <c r="M56" s="162"/>
      <c r="S56" s="6"/>
      <c r="T56" s="5"/>
    </row>
    <row r="57" spans="1:20" ht="16.2" thickBot="1" x14ac:dyDescent="0.35">
      <c r="A57" s="173"/>
      <c r="B57" s="123" t="str">
        <f>Absorbances!F21</f>
        <v>ODNR_2_T</v>
      </c>
      <c r="C57" s="65"/>
      <c r="D57" s="24" t="s">
        <v>52</v>
      </c>
      <c r="E57" s="26">
        <f>Absorbances!F10</f>
        <v>0</v>
      </c>
      <c r="F57" s="25">
        <f>IF(OR(ISBLANK(E56),ISBLANK(E57)),"",STDEV(E56,E57))</f>
        <v>0</v>
      </c>
      <c r="G57" s="25" t="e">
        <f>IF(ISTEXT(F57),"",F57/((E56+E57)/2)*100)</f>
        <v>#DIV/0!</v>
      </c>
      <c r="H57" s="31" t="str">
        <f t="shared" si="3"/>
        <v>Invalid</v>
      </c>
      <c r="I57" s="35" t="str">
        <f>IF(AND(ISBLANK(E56),ISBLANK(E57)),"",IF(OR(ISBLANK(E57),ISBLANK(E56)),AVERAGE(H56:H57),IF(OR(ISTEXT(H56),ISTEXT(H57)),"Invalid",AVERAGE(H56:H57))))</f>
        <v>Invalid</v>
      </c>
      <c r="J57" s="35">
        <v>1</v>
      </c>
      <c r="K57" s="155"/>
      <c r="L57" s="156"/>
      <c r="M57" s="157"/>
      <c r="S57" s="6"/>
      <c r="T57" s="5"/>
    </row>
    <row r="58" spans="1:20" ht="16.2" thickTop="1" x14ac:dyDescent="0.3">
      <c r="A58" s="172">
        <v>11</v>
      </c>
      <c r="B58" s="126" t="str">
        <f>Absorbances!G14</f>
        <v>ODNR_2_D</v>
      </c>
      <c r="C58" s="64"/>
      <c r="D58" s="22" t="s">
        <v>53</v>
      </c>
      <c r="E58" s="22">
        <f>Absorbances!G3</f>
        <v>0</v>
      </c>
      <c r="F58" s="23"/>
      <c r="G58" s="23"/>
      <c r="H58" s="41" t="str">
        <f t="shared" si="3"/>
        <v>Invalid</v>
      </c>
      <c r="I58" s="38"/>
      <c r="J58" s="38">
        <v>1</v>
      </c>
      <c r="K58" s="160" t="str">
        <f>IF(AND(ISBLANK(E58),ISBLANK(E59)),"",IF(AVERAGE($E58:$E59)&gt;$D$22,"LESS than Standard 1, outside of quantifiable range",IF(AVERAGE($E58:$E59)&lt;$D$26,"GREATER than Standard 5, outside of quantifiable range","")))</f>
        <v>GREATER than Standard 5, outside of quantifiable range</v>
      </c>
      <c r="L58" s="161"/>
      <c r="M58" s="162"/>
      <c r="S58" s="6"/>
      <c r="T58" s="5"/>
    </row>
    <row r="59" spans="1:20" ht="16.2" thickBot="1" x14ac:dyDescent="0.35">
      <c r="A59" s="173"/>
      <c r="B59" s="123" t="str">
        <f>Absorbances!G15</f>
        <v>ODNR_2_D</v>
      </c>
      <c r="C59" s="65"/>
      <c r="D59" s="24" t="s">
        <v>53</v>
      </c>
      <c r="E59" s="24">
        <f>Absorbances!G4</f>
        <v>0</v>
      </c>
      <c r="F59" s="25">
        <f>IF(OR(ISBLANK(E58),ISBLANK(E59)),"",STDEV(E58,E59))</f>
        <v>0</v>
      </c>
      <c r="G59" s="25" t="e">
        <f>IF(ISTEXT(F59),"",F59/((E58+E59)/2)*100)</f>
        <v>#DIV/0!</v>
      </c>
      <c r="H59" s="31" t="str">
        <f t="shared" si="3"/>
        <v>Invalid</v>
      </c>
      <c r="I59" s="35" t="str">
        <f>IF(AND(ISBLANK(E58),ISBLANK(E59)),"",IF(OR(ISBLANK(E59),ISBLANK(E58)),AVERAGE(H58:H59),IF(OR(ISTEXT(H58),ISTEXT(H59)),"Invalid",AVERAGE(H58:H59))))</f>
        <v>Invalid</v>
      </c>
      <c r="J59" s="35">
        <v>1</v>
      </c>
      <c r="K59" s="155"/>
      <c r="L59" s="156"/>
      <c r="M59" s="157"/>
      <c r="S59" s="6"/>
      <c r="T59" s="5"/>
    </row>
    <row r="60" spans="1:20" ht="16.2" thickTop="1" x14ac:dyDescent="0.3">
      <c r="A60" s="172">
        <v>12</v>
      </c>
      <c r="B60" s="124" t="str">
        <f>Absorbances!G16</f>
        <v>Buoy_2_T</v>
      </c>
      <c r="C60" s="64"/>
      <c r="D60" s="22" t="s">
        <v>52</v>
      </c>
      <c r="E60" s="16">
        <f>Absorbances!G5</f>
        <v>0</v>
      </c>
      <c r="F60" s="17"/>
      <c r="G60" s="17"/>
      <c r="H60" s="40" t="str">
        <f t="shared" si="3"/>
        <v>Invalid</v>
      </c>
      <c r="I60" s="37"/>
      <c r="J60" s="38">
        <v>1</v>
      </c>
      <c r="K60" s="160" t="str">
        <f>IF(AND(ISBLANK(E60),ISBLANK(E61)),"",IF(AVERAGE($E60:$E61)&gt;$D$22,"LESS than Standard 1, outside of quantifiable range",IF(AVERAGE($E60:$E61)&lt;$D$26,"GREATER than Standard 5, outside of quantifiable range","")))</f>
        <v>GREATER than Standard 5, outside of quantifiable range</v>
      </c>
      <c r="L60" s="161"/>
      <c r="M60" s="162"/>
      <c r="N60" s="6"/>
      <c r="O60" s="6"/>
      <c r="P60" s="6"/>
      <c r="Q60" s="6"/>
      <c r="R60" s="6"/>
      <c r="S60" s="6"/>
      <c r="T60" s="5"/>
    </row>
    <row r="61" spans="1:20" ht="16.2" thickBot="1" x14ac:dyDescent="0.35">
      <c r="A61" s="173"/>
      <c r="B61" s="125" t="str">
        <f>Absorbances!G17</f>
        <v>Buoy_2_T</v>
      </c>
      <c r="C61" s="65"/>
      <c r="D61" s="24" t="s">
        <v>52</v>
      </c>
      <c r="E61" s="26">
        <f>Absorbances!G6</f>
        <v>0</v>
      </c>
      <c r="F61" s="25">
        <f>IF(OR(ISBLANK(E60),ISBLANK(E61)),"",STDEV(E60,E61))</f>
        <v>0</v>
      </c>
      <c r="G61" s="25" t="e">
        <f>IF(ISTEXT(F61),"",F61/((E60+E61)/2)*100)</f>
        <v>#DIV/0!</v>
      </c>
      <c r="H61" s="31" t="str">
        <f t="shared" si="3"/>
        <v>Invalid</v>
      </c>
      <c r="I61" s="35" t="str">
        <f>IF(AND(ISBLANK(E60),ISBLANK(E61)),"",IF(OR(ISBLANK(E61),ISBLANK(E60)),AVERAGE(H60:H61),IF(OR(ISTEXT(H60),ISTEXT(H61)),"Invalid",AVERAGE(H60:H61))))</f>
        <v>Invalid</v>
      </c>
      <c r="J61" s="35">
        <v>1</v>
      </c>
      <c r="K61" s="155"/>
      <c r="L61" s="156"/>
      <c r="M61" s="157"/>
      <c r="N61" s="6"/>
      <c r="O61" s="6"/>
      <c r="P61" s="6"/>
      <c r="Q61" s="6"/>
      <c r="R61" s="6"/>
      <c r="S61" s="6"/>
      <c r="T61" s="5"/>
    </row>
    <row r="62" spans="1:20" ht="16.2" thickTop="1" x14ac:dyDescent="0.3">
      <c r="A62" s="172">
        <v>13</v>
      </c>
      <c r="B62" s="126" t="str">
        <f>Absorbances!G18</f>
        <v>Buoy_2_D</v>
      </c>
      <c r="C62" s="64"/>
      <c r="D62" s="22" t="s">
        <v>53</v>
      </c>
      <c r="E62" s="22">
        <f>Absorbances!G7</f>
        <v>0</v>
      </c>
      <c r="F62" s="23"/>
      <c r="G62" s="23"/>
      <c r="H62" s="40" t="str">
        <f t="shared" si="3"/>
        <v>Invalid</v>
      </c>
      <c r="I62" s="38"/>
      <c r="J62" s="38">
        <v>1</v>
      </c>
      <c r="K62" s="160" t="str">
        <f>IF(AND(ISBLANK(E62),ISBLANK(E63)),"",IF(AVERAGE($E62:$E63)&gt;$D$22,"LESS than Standard 1, outside of quantifiable range",IF(AVERAGE($E62:$E63)&lt;$D$26,"GREATER than Standard 5, outside of quantifiable range","")))</f>
        <v>GREATER than Standard 5, outside of quantifiable range</v>
      </c>
      <c r="L62" s="161"/>
      <c r="M62" s="162"/>
      <c r="N62" s="6"/>
      <c r="O62" s="6"/>
      <c r="P62" s="6"/>
      <c r="Q62" s="6"/>
      <c r="R62" s="6"/>
      <c r="S62" s="6"/>
      <c r="T62" s="5"/>
    </row>
    <row r="63" spans="1:20" ht="16.2" thickBot="1" x14ac:dyDescent="0.35">
      <c r="A63" s="173"/>
      <c r="B63" s="123" t="str">
        <f>Absorbances!G19</f>
        <v>Buoy_2_D</v>
      </c>
      <c r="C63" s="65"/>
      <c r="D63" s="24" t="s">
        <v>53</v>
      </c>
      <c r="E63" s="24">
        <f>Absorbances!G8</f>
        <v>0</v>
      </c>
      <c r="F63" s="25">
        <f>IF(OR(ISBLANK(E62),ISBLANK(E63)),"",STDEV(E62,E63))</f>
        <v>0</v>
      </c>
      <c r="G63" s="25" t="e">
        <f>IF(ISTEXT(F63),"",F63/((E62+E63)/2)*100)</f>
        <v>#DIV/0!</v>
      </c>
      <c r="H63" s="31" t="str">
        <f t="shared" si="3"/>
        <v>Invalid</v>
      </c>
      <c r="I63" s="35" t="str">
        <f>IF(AND(ISBLANK(E62),ISBLANK(E63)),"",IF(OR(ISBLANK(E63),ISBLANK(E62)),AVERAGE(H62:H63),IF(OR(ISTEXT(H62),ISTEXT(H63)),"Invalid",AVERAGE(H62:H63))))</f>
        <v>Invalid</v>
      </c>
      <c r="J63" s="35">
        <v>1</v>
      </c>
      <c r="K63" s="155"/>
      <c r="L63" s="156"/>
      <c r="M63" s="157"/>
      <c r="N63" s="6"/>
      <c r="O63" s="6"/>
      <c r="P63" s="6"/>
      <c r="Q63" s="6"/>
      <c r="R63" s="6"/>
      <c r="S63" s="6"/>
      <c r="T63" s="5"/>
    </row>
    <row r="64" spans="1:20" ht="16.2" thickTop="1" x14ac:dyDescent="0.3">
      <c r="A64" s="172">
        <v>14</v>
      </c>
      <c r="B64" s="126" t="str">
        <f>Absorbances!G20</f>
        <v>ODNR_1_T</v>
      </c>
      <c r="C64" s="64"/>
      <c r="D64" s="22" t="s">
        <v>52</v>
      </c>
      <c r="E64" s="16">
        <f>Absorbances!G9</f>
        <v>0</v>
      </c>
      <c r="F64" s="17"/>
      <c r="G64" s="17"/>
      <c r="H64" s="40" t="str">
        <f t="shared" si="3"/>
        <v>Invalid</v>
      </c>
      <c r="I64" s="37"/>
      <c r="J64" s="38">
        <v>1</v>
      </c>
      <c r="K64" s="160" t="str">
        <f>IF(AND(ISBLANK(E64),ISBLANK(E65)),"",IF(AVERAGE($E64:$E65)&gt;$D$22,"LESS than Standard 1, outside of quantifiable range",IF(AVERAGE($E64:$E65)&lt;$D$26,"GREATER than Standard 5, outside of quantifiable range","")))</f>
        <v>GREATER than Standard 5, outside of quantifiable range</v>
      </c>
      <c r="L64" s="161"/>
      <c r="M64" s="162"/>
      <c r="N64" s="6"/>
      <c r="O64" s="6"/>
      <c r="P64" s="6"/>
      <c r="Q64" s="6"/>
      <c r="R64" s="6"/>
      <c r="S64" s="6"/>
      <c r="T64" s="5"/>
    </row>
    <row r="65" spans="1:20" ht="16.2" thickBot="1" x14ac:dyDescent="0.35">
      <c r="A65" s="173"/>
      <c r="B65" s="123" t="str">
        <f>Absorbances!G21</f>
        <v>ODNR_1_T</v>
      </c>
      <c r="C65" s="65"/>
      <c r="D65" s="24" t="s">
        <v>52</v>
      </c>
      <c r="E65" s="26">
        <f>Absorbances!G10</f>
        <v>0</v>
      </c>
      <c r="F65" s="25">
        <f>IF(OR(ISBLANK(E64),ISBLANK(E65)),"",STDEV(E64,E65))</f>
        <v>0</v>
      </c>
      <c r="G65" s="25" t="e">
        <f>IF(ISTEXT(F65),"",F65/((E64+E65)/2)*100)</f>
        <v>#DIV/0!</v>
      </c>
      <c r="H65" s="31" t="str">
        <f t="shared" si="3"/>
        <v>Invalid</v>
      </c>
      <c r="I65" s="35" t="str">
        <f>IF(AND(ISBLANK(E64),ISBLANK(E65)),"",IF(OR(ISBLANK(E65),ISBLANK(E64)),AVERAGE(H64:H65),IF(OR(ISTEXT(H64),ISTEXT(H65)),"Invalid",AVERAGE(H64:H65))))</f>
        <v>Invalid</v>
      </c>
      <c r="J65" s="35">
        <v>1</v>
      </c>
      <c r="K65" s="155"/>
      <c r="L65" s="156"/>
      <c r="M65" s="157"/>
      <c r="N65" s="6"/>
      <c r="O65" s="6"/>
      <c r="P65" s="6"/>
      <c r="Q65" s="6"/>
      <c r="R65" s="6"/>
      <c r="S65" s="6"/>
      <c r="T65" s="5"/>
    </row>
    <row r="66" spans="1:20" ht="16.2" thickTop="1" x14ac:dyDescent="0.3">
      <c r="A66" s="172">
        <v>15</v>
      </c>
      <c r="B66" s="124" t="str">
        <f>Absorbances!H14</f>
        <v>ODNR_1_D</v>
      </c>
      <c r="C66" s="64"/>
      <c r="D66" s="22" t="s">
        <v>53</v>
      </c>
      <c r="E66" s="22">
        <f>Absorbances!H3</f>
        <v>0</v>
      </c>
      <c r="F66" s="23"/>
      <c r="G66" s="23"/>
      <c r="H66" s="40" t="str">
        <f t="shared" si="3"/>
        <v>Invalid</v>
      </c>
      <c r="I66" s="38"/>
      <c r="J66" s="38">
        <v>1</v>
      </c>
      <c r="K66" s="160" t="str">
        <f>IF(AND(ISBLANK(E66),ISBLANK(E67)),"",IF(AVERAGE($E66:$E67)&gt;$D$22,"LESS than Standard 1, outside of quantifiable range",IF(AVERAGE($E66:$E67)&lt;$D$26,"GREATER than Standard 5, outside of quantifiable range","")))</f>
        <v>GREATER than Standard 5, outside of quantifiable range</v>
      </c>
      <c r="L66" s="161"/>
      <c r="M66" s="162"/>
      <c r="N66" s="6"/>
      <c r="O66" s="6"/>
      <c r="P66" s="6"/>
      <c r="Q66" s="6"/>
      <c r="R66" s="6"/>
      <c r="S66" s="6"/>
      <c r="T66" s="5"/>
    </row>
    <row r="67" spans="1:20" ht="16.2" thickBot="1" x14ac:dyDescent="0.35">
      <c r="A67" s="173"/>
      <c r="B67" s="125" t="str">
        <f>Absorbances!H15</f>
        <v>ODNR_1_D</v>
      </c>
      <c r="C67" s="65"/>
      <c r="D67" s="24" t="s">
        <v>53</v>
      </c>
      <c r="E67" s="24">
        <f>Absorbances!H4</f>
        <v>0</v>
      </c>
      <c r="F67" s="25">
        <f>IF(OR(ISBLANK(E66),ISBLANK(E67)),"",STDEV(E66,E67))</f>
        <v>0</v>
      </c>
      <c r="G67" s="25" t="e">
        <f>IF(ISTEXT(F67),"",F67/((E66+E67)/2)*100)</f>
        <v>#DIV/0!</v>
      </c>
      <c r="H67" s="31" t="str">
        <f t="shared" si="3"/>
        <v>Invalid</v>
      </c>
      <c r="I67" s="35" t="str">
        <f>IF(AND(ISBLANK(E66),ISBLANK(E67)),"",IF(OR(ISBLANK(E67),ISBLANK(E66)),AVERAGE(H66:H67),IF(OR(ISTEXT(H66),ISTEXT(H67)),"Invalid",AVERAGE(H66:H67))))</f>
        <v>Invalid</v>
      </c>
      <c r="J67" s="35">
        <v>1</v>
      </c>
      <c r="K67" s="155"/>
      <c r="L67" s="156"/>
      <c r="M67" s="157"/>
      <c r="N67" s="6"/>
      <c r="O67" s="6"/>
      <c r="P67" s="6"/>
      <c r="Q67" s="6"/>
      <c r="R67" s="6"/>
      <c r="S67" s="6"/>
      <c r="T67" s="5"/>
    </row>
    <row r="68" spans="1:20" ht="16.2" thickTop="1" x14ac:dyDescent="0.3">
      <c r="A68" s="172">
        <v>16</v>
      </c>
      <c r="B68" s="126" t="str">
        <f>Absorbances!H16</f>
        <v>EC_1163_T</v>
      </c>
      <c r="C68" s="64"/>
      <c r="D68" s="22" t="s">
        <v>52</v>
      </c>
      <c r="E68" s="16">
        <f>Absorbances!H5</f>
        <v>0</v>
      </c>
      <c r="F68" s="17"/>
      <c r="G68" s="17"/>
      <c r="H68" s="40" t="str">
        <f t="shared" si="3"/>
        <v>Invalid</v>
      </c>
      <c r="I68" s="37"/>
      <c r="J68" s="38">
        <v>1</v>
      </c>
      <c r="K68" s="160" t="str">
        <f>IF(AND(ISBLANK(E68),ISBLANK(E69)),"",IF(AVERAGE($E68:$E69)&gt;$D$22,"LESS than Standard 1, outside of quantifiable range",IF(AVERAGE($E68:$E69)&lt;$D$26,"GREATER than Standard 5, outside of quantifiable range","")))</f>
        <v>GREATER than Standard 5, outside of quantifiable range</v>
      </c>
      <c r="L68" s="161"/>
      <c r="M68" s="162"/>
      <c r="N68" s="6"/>
      <c r="O68" s="6"/>
      <c r="P68" s="6"/>
      <c r="Q68" s="6"/>
      <c r="R68" s="6"/>
      <c r="S68" s="6"/>
      <c r="T68" s="5"/>
    </row>
    <row r="69" spans="1:20" ht="16.2" thickBot="1" x14ac:dyDescent="0.35">
      <c r="A69" s="173"/>
      <c r="B69" s="123" t="str">
        <f>Absorbances!H17</f>
        <v>EC_1163_T</v>
      </c>
      <c r="C69" s="65"/>
      <c r="D69" s="24" t="s">
        <v>52</v>
      </c>
      <c r="E69" s="26">
        <f>Absorbances!H6</f>
        <v>0</v>
      </c>
      <c r="F69" s="25">
        <f>IF(OR(ISBLANK(E68),ISBLANK(E69)),"",STDEV(E68,E69))</f>
        <v>0</v>
      </c>
      <c r="G69" s="25" t="e">
        <f>IF(ISTEXT(F69),"",F69/((E68+E69)/2)*100)</f>
        <v>#DIV/0!</v>
      </c>
      <c r="H69" s="31" t="str">
        <f t="shared" si="3"/>
        <v>Invalid</v>
      </c>
      <c r="I69" s="35" t="str">
        <f>IF(AND(ISBLANK(E68),ISBLANK(E69)),"",IF(OR(ISBLANK(E69),ISBLANK(E68)),AVERAGE(H68:H69),IF(OR(ISTEXT(H68),ISTEXT(H69)),"Invalid",AVERAGE(H68:H69))))</f>
        <v>Invalid</v>
      </c>
      <c r="J69" s="35">
        <v>1</v>
      </c>
      <c r="K69" s="155"/>
      <c r="L69" s="156"/>
      <c r="M69" s="157"/>
      <c r="N69" s="6"/>
      <c r="O69" s="6"/>
      <c r="P69" s="6"/>
      <c r="Q69" s="6"/>
      <c r="R69" s="6"/>
      <c r="S69" s="6"/>
      <c r="T69" s="5"/>
    </row>
    <row r="70" spans="1:20" ht="16.2" thickTop="1" x14ac:dyDescent="0.3">
      <c r="A70" s="172">
        <v>17</v>
      </c>
      <c r="B70" s="126" t="str">
        <f>Absorbances!H18</f>
        <v>EC_1163_D</v>
      </c>
      <c r="C70" s="64"/>
      <c r="D70" s="22" t="s">
        <v>53</v>
      </c>
      <c r="E70" s="22">
        <f>Absorbances!H7</f>
        <v>0</v>
      </c>
      <c r="F70" s="23"/>
      <c r="G70" s="23"/>
      <c r="H70" s="40" t="str">
        <f t="shared" ref="H70:H101" si="4">IF(ISBLANK(E70),"",IF(E70&lt;=$C$33,"Invalid",IF(E70&gt;=$C$30,"Invalid",$C$32*(($C$30-E70)/(E70-$C$33))^(1/$C$31))))</f>
        <v>Invalid</v>
      </c>
      <c r="I70" s="33"/>
      <c r="J70" s="38">
        <v>1</v>
      </c>
      <c r="K70" s="160" t="str">
        <f>IF(AND(ISBLANK(E70),ISBLANK(E71)),"",IF(AVERAGE($E70:$E71)&gt;$D$22,"LESS than Standard 1, outside of quantifiable range",IF(AVERAGE($E70:$E71)&lt;$D$26,"GREATER than Standard 5, outside of quantifiable range","")))</f>
        <v>GREATER than Standard 5, outside of quantifiable range</v>
      </c>
      <c r="L70" s="161"/>
      <c r="M70" s="162"/>
      <c r="N70" s="6"/>
      <c r="O70" s="6"/>
      <c r="P70" s="6"/>
      <c r="Q70" s="6"/>
      <c r="R70" s="6"/>
      <c r="S70" s="6"/>
      <c r="T70" s="5"/>
    </row>
    <row r="71" spans="1:20" ht="16.2" thickBot="1" x14ac:dyDescent="0.35">
      <c r="A71" s="173"/>
      <c r="B71" s="123" t="str">
        <f>Absorbances!H19</f>
        <v>EC_1163_D</v>
      </c>
      <c r="C71" s="65"/>
      <c r="D71" s="24" t="s">
        <v>53</v>
      </c>
      <c r="E71" s="24">
        <f>Absorbances!H8</f>
        <v>0</v>
      </c>
      <c r="F71" s="25">
        <f>IF(OR(ISBLANK(E70),ISBLANK(E71)),"",STDEV(E70,E71))</f>
        <v>0</v>
      </c>
      <c r="G71" s="25" t="e">
        <f>IF(ISTEXT(F71),"",F71/((E70+E71)/2)*100)</f>
        <v>#DIV/0!</v>
      </c>
      <c r="H71" s="31" t="str">
        <f t="shared" si="4"/>
        <v>Invalid</v>
      </c>
      <c r="I71" s="35" t="str">
        <f>IF(AND(ISBLANK(E70),ISBLANK(E71)),"",IF(OR(ISBLANK(E71),ISBLANK(E70)),AVERAGE(H70:H71),IF(OR(ISTEXT(H70),ISTEXT(H71)),"Invalid",AVERAGE(H70:H71))))</f>
        <v>Invalid</v>
      </c>
      <c r="J71" s="35">
        <v>1</v>
      </c>
      <c r="K71" s="155"/>
      <c r="L71" s="156"/>
      <c r="M71" s="157"/>
      <c r="N71" s="6"/>
      <c r="O71" s="6"/>
      <c r="P71" s="6"/>
      <c r="Q71" s="6"/>
      <c r="R71" s="6"/>
      <c r="S71" s="6"/>
      <c r="T71" s="5"/>
    </row>
    <row r="72" spans="1:20" ht="16.2" thickTop="1" x14ac:dyDescent="0.3">
      <c r="A72" s="172">
        <v>18</v>
      </c>
      <c r="B72" s="124" t="str">
        <f>Absorbances!H20</f>
        <v>Causeway_T</v>
      </c>
      <c r="C72" s="64"/>
      <c r="D72" s="22" t="s">
        <v>52</v>
      </c>
      <c r="E72" s="16">
        <f>Absorbances!H9</f>
        <v>0</v>
      </c>
      <c r="F72" s="17"/>
      <c r="G72" s="17"/>
      <c r="H72" s="40" t="str">
        <f t="shared" si="4"/>
        <v>Invalid</v>
      </c>
      <c r="I72" s="32"/>
      <c r="J72" s="38">
        <v>1</v>
      </c>
      <c r="K72" s="160" t="str">
        <f>IF(AND(ISBLANK(E72),ISBLANK(E73)),"",IF(AVERAGE($E72:$E73)&gt;$D$22,"LESS than Standard 1, outside of quantifiable range",IF(AVERAGE($E72:$E73)&lt;$D$26,"GREATER than Standard 5, outside of quantifiable range","")))</f>
        <v>GREATER than Standard 5, outside of quantifiable range</v>
      </c>
      <c r="L72" s="161"/>
      <c r="M72" s="162"/>
      <c r="N72" s="6"/>
      <c r="O72" s="6"/>
      <c r="P72" s="6"/>
      <c r="Q72" s="6"/>
      <c r="R72" s="6"/>
      <c r="S72" s="6"/>
      <c r="T72" s="5"/>
    </row>
    <row r="73" spans="1:20" ht="16.2" thickBot="1" x14ac:dyDescent="0.35">
      <c r="A73" s="173"/>
      <c r="B73" s="125" t="str">
        <f>Absorbances!H21</f>
        <v>Causeway_T</v>
      </c>
      <c r="C73" s="65"/>
      <c r="D73" s="24" t="s">
        <v>52</v>
      </c>
      <c r="E73" s="24">
        <f>Absorbances!H10</f>
        <v>0</v>
      </c>
      <c r="F73" s="25">
        <f>IF(OR(ISBLANK(E72),ISBLANK(E73)),"",STDEV(E72,E73))</f>
        <v>0</v>
      </c>
      <c r="G73" s="25" t="e">
        <f>IF(ISTEXT(F73),"",F73/((E72+E73)/2)*100)</f>
        <v>#DIV/0!</v>
      </c>
      <c r="H73" s="31" t="str">
        <f t="shared" si="4"/>
        <v>Invalid</v>
      </c>
      <c r="I73" s="35" t="str">
        <f>IF(AND(ISBLANK(E72),ISBLANK(E73)),"",IF(OR(ISBLANK(E73),ISBLANK(E72)),AVERAGE(H72:H73),IF(OR(ISTEXT(H72),ISTEXT(H73)),"Invalid",AVERAGE(H72:H73))))</f>
        <v>Invalid</v>
      </c>
      <c r="J73" s="35">
        <v>1</v>
      </c>
      <c r="K73" s="155"/>
      <c r="L73" s="156"/>
      <c r="M73" s="157"/>
      <c r="N73" s="6"/>
      <c r="O73" s="6"/>
      <c r="P73" s="6"/>
      <c r="Q73" s="6"/>
      <c r="R73" s="6"/>
      <c r="S73" s="6"/>
      <c r="T73" s="5"/>
    </row>
    <row r="74" spans="1:20" ht="16.2" thickTop="1" x14ac:dyDescent="0.3">
      <c r="A74" s="172">
        <v>19</v>
      </c>
      <c r="B74" s="126" t="str">
        <f>Absorbances!I14</f>
        <v>Causeway_D</v>
      </c>
      <c r="C74" s="64"/>
      <c r="D74" s="22" t="s">
        <v>53</v>
      </c>
      <c r="E74" s="22">
        <f>Absorbances!I3</f>
        <v>0</v>
      </c>
      <c r="F74" s="23"/>
      <c r="G74" s="23"/>
      <c r="H74" s="40" t="str">
        <f t="shared" si="4"/>
        <v>Invalid</v>
      </c>
      <c r="I74" s="38"/>
      <c r="J74" s="38">
        <v>1</v>
      </c>
      <c r="K74" s="160" t="str">
        <f>IF(AND(ISBLANK(E74),ISBLANK(E75)),"",IF(AVERAGE($E74:$E75)&gt;$D$22,"LESS than Standard 1, outside of quantifiable range",IF(AVERAGE($E74:$E75)&lt;$D$26,"GREATER than Standard 5, outside of quantifiable range","")))</f>
        <v>GREATER than Standard 5, outside of quantifiable range</v>
      </c>
      <c r="L74" s="161"/>
      <c r="M74" s="162"/>
      <c r="N74" s="6"/>
      <c r="O74" s="6"/>
      <c r="P74" s="6"/>
      <c r="Q74" s="6"/>
      <c r="R74" s="6"/>
      <c r="S74" s="6"/>
      <c r="T74" s="5"/>
    </row>
    <row r="75" spans="1:20" ht="16.2" thickBot="1" x14ac:dyDescent="0.35">
      <c r="A75" s="173"/>
      <c r="B75" s="123" t="str">
        <f>Absorbances!I15</f>
        <v>Causeway_D</v>
      </c>
      <c r="C75" s="65"/>
      <c r="D75" s="24" t="s">
        <v>53</v>
      </c>
      <c r="E75" s="24">
        <f>Absorbances!I4</f>
        <v>0</v>
      </c>
      <c r="F75" s="25">
        <f>IF(OR(ISBLANK(E74),ISBLANK(E75)),"",STDEV(E74,E75))</f>
        <v>0</v>
      </c>
      <c r="G75" s="25" t="e">
        <f>IF(ISTEXT(F75),"",F75/((E74+E75)/2)*100)</f>
        <v>#DIV/0!</v>
      </c>
      <c r="H75" s="31" t="str">
        <f t="shared" si="4"/>
        <v>Invalid</v>
      </c>
      <c r="I75" s="35" t="str">
        <f>IF(AND(ISBLANK(E74),ISBLANK(E75)),"",IF(OR(ISBLANK(E75),ISBLANK(E74)),AVERAGE(H74:H75),IF(OR(ISTEXT(H74),ISTEXT(H75)),"Invalid",AVERAGE(H74:H75))))</f>
        <v>Invalid</v>
      </c>
      <c r="J75" s="35">
        <v>1</v>
      </c>
      <c r="K75" s="155"/>
      <c r="L75" s="156"/>
      <c r="M75" s="157"/>
      <c r="N75" s="6"/>
      <c r="O75" s="6"/>
      <c r="P75" s="6"/>
      <c r="Q75" s="6"/>
      <c r="R75" s="6"/>
      <c r="S75" s="6"/>
      <c r="T75" s="5"/>
    </row>
    <row r="76" spans="1:20" ht="16.2" thickTop="1" x14ac:dyDescent="0.3">
      <c r="A76" s="172">
        <v>20</v>
      </c>
      <c r="B76" s="126" t="str">
        <f>Absorbances!I16</f>
        <v>Bells_T</v>
      </c>
      <c r="C76" s="64"/>
      <c r="D76" s="22" t="s">
        <v>52</v>
      </c>
      <c r="E76" s="22">
        <f>Absorbances!I5</f>
        <v>0</v>
      </c>
      <c r="F76" s="28"/>
      <c r="G76" s="17"/>
      <c r="H76" s="40" t="str">
        <f t="shared" si="4"/>
        <v>Invalid</v>
      </c>
      <c r="I76" s="37"/>
      <c r="J76" s="38">
        <v>1</v>
      </c>
      <c r="K76" s="160" t="str">
        <f>IF(AND(ISBLANK(E76),ISBLANK(E77)),"",IF(AVERAGE($E76:$E77)&gt;$D$22,"LESS than Standard 1, outside of quantifiable range",IF(AVERAGE($E76:$E77)&lt;$D$26,"GREATER than Standard 5, outside of quantifiable range","")))</f>
        <v>GREATER than Standard 5, outside of quantifiable range</v>
      </c>
      <c r="L76" s="161"/>
      <c r="M76" s="162"/>
      <c r="N76" s="6"/>
      <c r="O76" s="6"/>
      <c r="P76" s="6"/>
      <c r="Q76" s="6"/>
      <c r="R76" s="6"/>
      <c r="S76" s="6"/>
      <c r="T76" s="5"/>
    </row>
    <row r="77" spans="1:20" ht="16.2" thickBot="1" x14ac:dyDescent="0.35">
      <c r="A77" s="173"/>
      <c r="B77" s="123" t="str">
        <f>Absorbances!I17</f>
        <v>Bells_T</v>
      </c>
      <c r="C77" s="65"/>
      <c r="D77" s="24" t="s">
        <v>52</v>
      </c>
      <c r="E77" s="29">
        <f>Absorbances!I6</f>
        <v>0</v>
      </c>
      <c r="F77" s="25">
        <f>IF(OR(ISBLANK(E76),ISBLANK(E77)),"",STDEV(E76,E77))</f>
        <v>0</v>
      </c>
      <c r="G77" s="25" t="e">
        <f>IF(ISTEXT(F77),"",F77/((E76+E77)/2)*100)</f>
        <v>#DIV/0!</v>
      </c>
      <c r="H77" s="31" t="str">
        <f t="shared" si="4"/>
        <v>Invalid</v>
      </c>
      <c r="I77" s="35" t="str">
        <f>IF(AND(ISBLANK(E76),ISBLANK(E77)),"",IF(OR(ISBLANK(E77),ISBLANK(E76)),AVERAGE(H76:H77),IF(OR(ISTEXT(H76),ISTEXT(H77)),"Invalid",AVERAGE(H76:H77))))</f>
        <v>Invalid</v>
      </c>
      <c r="J77" s="35">
        <v>1</v>
      </c>
      <c r="K77" s="155"/>
      <c r="L77" s="156"/>
      <c r="M77" s="157"/>
      <c r="N77" s="6"/>
      <c r="O77" s="6"/>
      <c r="P77" s="6"/>
      <c r="Q77" s="6"/>
      <c r="R77" s="6"/>
      <c r="S77" s="6"/>
      <c r="T77" s="5"/>
    </row>
    <row r="78" spans="1:20" ht="16.2" thickTop="1" x14ac:dyDescent="0.3">
      <c r="A78" s="172">
        <v>21</v>
      </c>
      <c r="B78" s="124" t="str">
        <f>Absorbances!I18</f>
        <v>Bells_D</v>
      </c>
      <c r="C78" s="64"/>
      <c r="D78" s="22" t="s">
        <v>53</v>
      </c>
      <c r="E78" s="22">
        <f>Absorbances!I7</f>
        <v>0</v>
      </c>
      <c r="F78" s="23"/>
      <c r="G78" s="23"/>
      <c r="H78" s="40" t="str">
        <f t="shared" si="4"/>
        <v>Invalid</v>
      </c>
      <c r="I78" s="38"/>
      <c r="J78" s="38">
        <v>1</v>
      </c>
      <c r="K78" s="160" t="str">
        <f>IF(AND(ISBLANK(E78),ISBLANK(E79)),"",IF(AVERAGE($E78:$E79)&gt;$D$22,"LESS than Standard 1, outside of quantifiable range",IF(AVERAGE($E78:$E79)&lt;$D$26,"GREATER than Standard 5, outside of quantifiable range","")))</f>
        <v>GREATER than Standard 5, outside of quantifiable range</v>
      </c>
      <c r="L78" s="161"/>
      <c r="M78" s="162"/>
      <c r="N78" s="6"/>
      <c r="O78" s="6"/>
      <c r="P78" s="6"/>
      <c r="Q78" s="6"/>
      <c r="R78" s="6"/>
      <c r="S78" s="6"/>
      <c r="T78" s="5"/>
    </row>
    <row r="79" spans="1:20" ht="16.2" thickBot="1" x14ac:dyDescent="0.35">
      <c r="A79" s="173"/>
      <c r="B79" s="125" t="str">
        <f>Absorbances!I19</f>
        <v>Bells_D</v>
      </c>
      <c r="C79" s="65"/>
      <c r="D79" s="24" t="s">
        <v>53</v>
      </c>
      <c r="E79" s="24">
        <f>Absorbances!I8</f>
        <v>0</v>
      </c>
      <c r="F79" s="25">
        <f>IF(OR(ISBLANK(E78),ISBLANK(E79)),"",STDEV(E78,E79))</f>
        <v>0</v>
      </c>
      <c r="G79" s="25" t="e">
        <f>IF(ISTEXT(F79),"",F79/((E78+E79)/2)*100)</f>
        <v>#DIV/0!</v>
      </c>
      <c r="H79" s="31" t="str">
        <f t="shared" si="4"/>
        <v>Invalid</v>
      </c>
      <c r="I79" s="35" t="str">
        <f>IF(AND(ISBLANK(E78),ISBLANK(E79)),"",IF(OR(ISBLANK(E79),ISBLANK(E78)),AVERAGE(H78:H79),IF(OR(ISTEXT(H78),ISTEXT(H79)),"Invalid",AVERAGE(H78:H79))))</f>
        <v>Invalid</v>
      </c>
      <c r="J79" s="35">
        <v>1</v>
      </c>
      <c r="K79" s="155"/>
      <c r="L79" s="156"/>
      <c r="M79" s="157"/>
      <c r="N79" s="6"/>
      <c r="O79" s="6"/>
      <c r="P79" s="6"/>
      <c r="Q79" s="6"/>
      <c r="R79" s="6"/>
      <c r="S79" s="6"/>
      <c r="T79" s="5"/>
    </row>
    <row r="80" spans="1:20" ht="16.2" thickTop="1" x14ac:dyDescent="0.3">
      <c r="A80" s="172">
        <v>22</v>
      </c>
      <c r="B80" s="122" t="str">
        <f>Absorbances!I20</f>
        <v>Muddy_Creek_T</v>
      </c>
      <c r="C80" s="74"/>
      <c r="D80" s="75" t="s">
        <v>52</v>
      </c>
      <c r="E80" s="16">
        <f>Absorbances!I9</f>
        <v>0</v>
      </c>
      <c r="F80" s="17"/>
      <c r="G80" s="17"/>
      <c r="H80" s="40" t="str">
        <f t="shared" si="4"/>
        <v>Invalid</v>
      </c>
      <c r="I80" s="37"/>
      <c r="J80" s="38">
        <v>1</v>
      </c>
      <c r="K80" s="160" t="str">
        <f>IF(AND(ISBLANK(E80),ISBLANK(E81)),"",IF(AVERAGE($E80:$E81)&gt;$D$22,"LESS than Standard 1, outside of quantifiable range",IF(AVERAGE($E80:$E81)&lt;$D$26,"GREATER than Standard 5, outside of quantifiable range","")))</f>
        <v>GREATER than Standard 5, outside of quantifiable range</v>
      </c>
      <c r="L80" s="161"/>
      <c r="M80" s="162"/>
      <c r="N80" s="6"/>
      <c r="O80" s="6"/>
      <c r="P80" s="6"/>
      <c r="Q80" s="6"/>
      <c r="R80" s="6"/>
      <c r="S80" s="6"/>
      <c r="T80" s="5"/>
    </row>
    <row r="81" spans="1:20" ht="16.2" thickBot="1" x14ac:dyDescent="0.35">
      <c r="A81" s="173"/>
      <c r="B81" s="123" t="str">
        <f>Absorbances!I21</f>
        <v>Muddy_Creek_T</v>
      </c>
      <c r="C81" s="65"/>
      <c r="D81" s="24" t="s">
        <v>52</v>
      </c>
      <c r="E81" s="26">
        <f>Absorbances!I10</f>
        <v>0</v>
      </c>
      <c r="F81" s="25">
        <f>IF(OR(ISBLANK(E80),ISBLANK(E81)),"",STDEV(E80,E81))</f>
        <v>0</v>
      </c>
      <c r="G81" s="25" t="e">
        <f>IF(ISTEXT(F81),"",F81/((E80+E81)/2)*100)</f>
        <v>#DIV/0!</v>
      </c>
      <c r="H81" s="31" t="str">
        <f t="shared" si="4"/>
        <v>Invalid</v>
      </c>
      <c r="I81" s="35" t="str">
        <f>IF(AND(ISBLANK(E80),ISBLANK(E81)),"",IF(OR(ISBLANK(E81),ISBLANK(E80)),AVERAGE(H80:H81),IF(OR(ISTEXT(H80),ISTEXT(H81)),"Invalid",AVERAGE(H80:H81))))</f>
        <v>Invalid</v>
      </c>
      <c r="J81" s="35">
        <v>1</v>
      </c>
      <c r="K81" s="155"/>
      <c r="L81" s="156"/>
      <c r="M81" s="157"/>
      <c r="N81" s="6"/>
      <c r="O81" s="6"/>
      <c r="P81" s="6"/>
      <c r="Q81" s="6"/>
      <c r="R81" s="6"/>
      <c r="S81" s="6"/>
      <c r="T81" s="5"/>
    </row>
    <row r="82" spans="1:20" ht="16.2" thickTop="1" x14ac:dyDescent="0.3">
      <c r="A82" s="172">
        <v>23</v>
      </c>
      <c r="B82" s="124" t="str">
        <f>Absorbances!J14</f>
        <v>Muddy_Creek_D</v>
      </c>
      <c r="C82" s="64"/>
      <c r="D82" s="22" t="s">
        <v>53</v>
      </c>
      <c r="E82" s="22">
        <f>Absorbances!J3</f>
        <v>0</v>
      </c>
      <c r="F82" s="23"/>
      <c r="G82" s="23"/>
      <c r="H82" s="41" t="str">
        <f t="shared" si="4"/>
        <v>Invalid</v>
      </c>
      <c r="I82" s="38"/>
      <c r="J82" s="38">
        <v>1</v>
      </c>
      <c r="K82" s="160" t="str">
        <f>IF(AND(ISBLANK(E82),ISBLANK(E83)),"",IF(AVERAGE($E82:$E83)&gt;$D$22,"LESS than Standard 1, outside of quantifiable range",IF(AVERAGE($E82:$E83)&lt;$D$26,"GREATER than Standard 5, outside of quantifiable range","")))</f>
        <v>GREATER than Standard 5, outside of quantifiable range</v>
      </c>
      <c r="L82" s="161"/>
      <c r="M82" s="162"/>
      <c r="N82" s="6"/>
      <c r="O82" s="6"/>
      <c r="P82" s="6"/>
      <c r="Q82" s="6"/>
      <c r="R82" s="6"/>
      <c r="S82" s="6"/>
      <c r="T82" s="5"/>
    </row>
    <row r="83" spans="1:20" ht="16.2" thickBot="1" x14ac:dyDescent="0.35">
      <c r="A83" s="173"/>
      <c r="B83" s="125" t="str">
        <f>Absorbances!J15</f>
        <v>Muddy_Creek_D</v>
      </c>
      <c r="C83" s="65"/>
      <c r="D83" s="24" t="s">
        <v>53</v>
      </c>
      <c r="E83" s="24">
        <f>Absorbances!J4</f>
        <v>0</v>
      </c>
      <c r="F83" s="25">
        <f>IF(OR(ISBLANK(E82),ISBLANK(E83)),"",STDEV(E82,E83))</f>
        <v>0</v>
      </c>
      <c r="G83" s="25" t="e">
        <f>IF(ISTEXT(F83),"",F83/((E82+E83)/2)*100)</f>
        <v>#DIV/0!</v>
      </c>
      <c r="H83" s="31" t="str">
        <f t="shared" si="4"/>
        <v>Invalid</v>
      </c>
      <c r="I83" s="35" t="str">
        <f>IF(AND(ISBLANK(E82),ISBLANK(E83)),"",IF(OR(ISBLANK(E83),ISBLANK(E82)),AVERAGE(H82:H83),IF(OR(ISTEXT(H82),ISTEXT(H83)),"Invalid",AVERAGE(H82:H83))))</f>
        <v>Invalid</v>
      </c>
      <c r="J83" s="35">
        <v>1</v>
      </c>
      <c r="K83" s="155"/>
      <c r="L83" s="156"/>
      <c r="M83" s="157"/>
      <c r="N83" s="6"/>
      <c r="O83" s="6"/>
      <c r="P83" s="6"/>
      <c r="Q83" s="6"/>
      <c r="R83" s="6"/>
      <c r="S83" s="6"/>
      <c r="T83" s="5"/>
    </row>
    <row r="84" spans="1:20" ht="16.2" thickTop="1" x14ac:dyDescent="0.3">
      <c r="A84" s="172">
        <v>24</v>
      </c>
      <c r="B84" s="126" t="str">
        <f>Absorbances!J16</f>
        <v>ODNR_4_T</v>
      </c>
      <c r="C84" s="64"/>
      <c r="D84" s="22" t="s">
        <v>52</v>
      </c>
      <c r="E84" s="16">
        <f>Absorbances!J5</f>
        <v>0</v>
      </c>
      <c r="F84" s="17"/>
      <c r="G84" s="17"/>
      <c r="H84" s="40" t="str">
        <f t="shared" si="4"/>
        <v>Invalid</v>
      </c>
      <c r="I84" s="37"/>
      <c r="J84" s="38">
        <v>1</v>
      </c>
      <c r="K84" s="160" t="str">
        <f>IF(AND(ISBLANK(E84),ISBLANK(E85)),"",IF(AVERAGE($E84:$E85)&gt;$D$22,"LESS than Standard 1, outside of quantifiable range",IF(AVERAGE($E84:$E85)&lt;$D$26,"GREATER than Standard 5, outside of quantifiable range","")))</f>
        <v>GREATER than Standard 5, outside of quantifiable range</v>
      </c>
      <c r="L84" s="161"/>
      <c r="M84" s="162"/>
      <c r="N84" s="6"/>
      <c r="O84" s="6"/>
      <c r="P84" s="6"/>
      <c r="Q84" s="6"/>
      <c r="R84" s="6"/>
      <c r="S84" s="6"/>
      <c r="T84" s="5"/>
    </row>
    <row r="85" spans="1:20" ht="16.2" thickBot="1" x14ac:dyDescent="0.35">
      <c r="A85" s="173"/>
      <c r="B85" s="123" t="str">
        <f>Absorbances!J17</f>
        <v>ODNR_4_T</v>
      </c>
      <c r="C85" s="65"/>
      <c r="D85" s="24" t="s">
        <v>52</v>
      </c>
      <c r="E85" s="26">
        <f>Absorbances!J6</f>
        <v>0</v>
      </c>
      <c r="F85" s="25">
        <f>IF(OR(ISBLANK(E84),ISBLANK(E85)),"",STDEV(E84,E85))</f>
        <v>0</v>
      </c>
      <c r="G85" s="25" t="e">
        <f>IF(ISTEXT(F85),"",F85/((E84+E85)/2)*100)</f>
        <v>#DIV/0!</v>
      </c>
      <c r="H85" s="31" t="str">
        <f t="shared" si="4"/>
        <v>Invalid</v>
      </c>
      <c r="I85" s="35" t="str">
        <f>IF(AND(ISBLANK(E84),ISBLANK(E85)),"",IF(OR(ISBLANK(E85),ISBLANK(E84)),AVERAGE(H84:H85),IF(OR(ISTEXT(H84),ISTEXT(H85)),"Invalid",AVERAGE(H84:H85))))</f>
        <v>Invalid</v>
      </c>
      <c r="J85" s="35">
        <v>1</v>
      </c>
      <c r="K85" s="155"/>
      <c r="L85" s="156"/>
      <c r="M85" s="157"/>
      <c r="N85" s="6"/>
      <c r="O85" s="6"/>
      <c r="P85" s="6"/>
      <c r="Q85" s="6"/>
      <c r="R85" s="6"/>
      <c r="S85" s="6"/>
      <c r="T85" s="5"/>
    </row>
    <row r="86" spans="1:20" ht="16.2" thickTop="1" x14ac:dyDescent="0.3">
      <c r="A86" s="172">
        <v>25</v>
      </c>
      <c r="B86" s="126" t="str">
        <f>Absorbances!J18</f>
        <v>ODNR_4_D</v>
      </c>
      <c r="C86" s="64"/>
      <c r="D86" s="22" t="s">
        <v>53</v>
      </c>
      <c r="E86" s="22">
        <f>Absorbances!J7</f>
        <v>0</v>
      </c>
      <c r="F86" s="23"/>
      <c r="G86" s="23"/>
      <c r="H86" s="40" t="str">
        <f t="shared" si="4"/>
        <v>Invalid</v>
      </c>
      <c r="I86" s="38"/>
      <c r="J86" s="38">
        <v>1</v>
      </c>
      <c r="K86" s="160" t="str">
        <f>IF(AND(ISBLANK(E86),ISBLANK(E87)),"",IF(AVERAGE($E86:$E87)&gt;$D$22,"LESS than Standard 1, outside of quantifiable range",IF(AVERAGE($E86:$E87)&lt;$D$26,"GREATER than Standard 5, outside of quantifiable range","")))</f>
        <v>GREATER than Standard 5, outside of quantifiable range</v>
      </c>
      <c r="L86" s="161"/>
      <c r="M86" s="162"/>
      <c r="N86" s="6"/>
      <c r="O86" s="6"/>
      <c r="P86" s="6"/>
      <c r="Q86" s="6"/>
      <c r="R86" s="6"/>
      <c r="S86" s="6"/>
      <c r="T86" s="5"/>
    </row>
    <row r="87" spans="1:20" ht="16.2" thickBot="1" x14ac:dyDescent="0.35">
      <c r="A87" s="173"/>
      <c r="B87" s="123" t="str">
        <f>Absorbances!J19</f>
        <v>ODNR_4_D</v>
      </c>
      <c r="C87" s="65"/>
      <c r="D87" s="24" t="s">
        <v>53</v>
      </c>
      <c r="E87" s="24">
        <f>Absorbances!J8</f>
        <v>0</v>
      </c>
      <c r="F87" s="25">
        <f>IF(OR(ISBLANK(E86),ISBLANK(E87)),"",STDEV(E86,E87))</f>
        <v>0</v>
      </c>
      <c r="G87" s="25" t="e">
        <f>IF(ISTEXT(F87),"",F87/((E86+E87)/2)*100)</f>
        <v>#DIV/0!</v>
      </c>
      <c r="H87" s="31" t="str">
        <f t="shared" si="4"/>
        <v>Invalid</v>
      </c>
      <c r="I87" s="35" t="str">
        <f>IF(AND(ISBLANK(E86),ISBLANK(E87)),"",IF(OR(ISBLANK(E87),ISBLANK(E86)),AVERAGE(H86:H87),IF(OR(ISTEXT(H86),ISTEXT(H87)),"Invalid",AVERAGE(H86:H87))))</f>
        <v>Invalid</v>
      </c>
      <c r="J87" s="35">
        <v>1</v>
      </c>
      <c r="K87" s="155"/>
      <c r="L87" s="156"/>
      <c r="M87" s="157"/>
      <c r="N87" s="6"/>
      <c r="O87" s="6"/>
      <c r="P87" s="6"/>
      <c r="Q87" s="6"/>
      <c r="R87" s="6"/>
      <c r="S87" s="6"/>
      <c r="T87" s="5"/>
    </row>
    <row r="88" spans="1:20" ht="16.2" thickTop="1" x14ac:dyDescent="0.3">
      <c r="A88" s="172">
        <v>26</v>
      </c>
      <c r="B88" s="124" t="str">
        <f>Absorbances!J20</f>
        <v>ODNR_6_T</v>
      </c>
      <c r="C88" s="64"/>
      <c r="D88" s="22" t="s">
        <v>52</v>
      </c>
      <c r="E88" s="16">
        <f>Absorbances!J9</f>
        <v>0</v>
      </c>
      <c r="F88" s="17"/>
      <c r="G88" s="17"/>
      <c r="H88" s="40" t="str">
        <f t="shared" si="4"/>
        <v>Invalid</v>
      </c>
      <c r="I88" s="37"/>
      <c r="J88" s="38">
        <v>1</v>
      </c>
      <c r="K88" s="160" t="str">
        <f>IF(AND(ISBLANK(E88),ISBLANK(E89)),"",IF(AVERAGE($E88:$E89)&gt;$D$22,"LESS than Standard 1, outside of quantifiable range",IF(AVERAGE($E88:$E89)&lt;$D$26,"GREATER than Standard 5, outside of quantifiable range","")))</f>
        <v>GREATER than Standard 5, outside of quantifiable range</v>
      </c>
      <c r="L88" s="161"/>
      <c r="M88" s="162"/>
      <c r="N88" s="6"/>
      <c r="O88" s="6"/>
      <c r="P88" s="6"/>
      <c r="Q88" s="6"/>
      <c r="R88" s="6"/>
      <c r="S88" s="6"/>
      <c r="T88" s="5"/>
    </row>
    <row r="89" spans="1:20" ht="16.2" thickBot="1" x14ac:dyDescent="0.35">
      <c r="A89" s="173"/>
      <c r="B89" s="125" t="str">
        <f>Absorbances!J21</f>
        <v>ODNR_6_T</v>
      </c>
      <c r="C89" s="65"/>
      <c r="D89" s="24" t="s">
        <v>52</v>
      </c>
      <c r="E89" s="26">
        <f>Absorbances!J10</f>
        <v>0</v>
      </c>
      <c r="F89" s="25">
        <f>IF(OR(ISBLANK(E88),ISBLANK(E89)),"",STDEV(E88,E89))</f>
        <v>0</v>
      </c>
      <c r="G89" s="25" t="e">
        <f>IF(ISTEXT(F89),"",F89/((E88+E89)/2)*100)</f>
        <v>#DIV/0!</v>
      </c>
      <c r="H89" s="31" t="str">
        <f t="shared" si="4"/>
        <v>Invalid</v>
      </c>
      <c r="I89" s="35" t="str">
        <f>IF(AND(ISBLANK(E88),ISBLANK(E89)),"",IF(OR(ISBLANK(E89),ISBLANK(E88)),AVERAGE(H88:H89),IF(OR(ISTEXT(H88),ISTEXT(H89)),"Invalid",AVERAGE(H88:H89))))</f>
        <v>Invalid</v>
      </c>
      <c r="J89" s="35">
        <v>1</v>
      </c>
      <c r="K89" s="155"/>
      <c r="L89" s="156"/>
      <c r="M89" s="157"/>
      <c r="N89" s="6"/>
      <c r="O89" s="6"/>
      <c r="P89" s="6"/>
      <c r="Q89" s="6"/>
      <c r="R89" s="6"/>
      <c r="S89" s="6"/>
      <c r="T89" s="5"/>
    </row>
    <row r="90" spans="1:20" ht="16.2" thickTop="1" x14ac:dyDescent="0.3">
      <c r="A90" s="172">
        <v>27</v>
      </c>
      <c r="B90" s="126" t="str">
        <f>Absorbances!K14</f>
        <v>ODNR_6_D</v>
      </c>
      <c r="C90" s="64"/>
      <c r="D90" s="22" t="s">
        <v>53</v>
      </c>
      <c r="E90" s="22">
        <f>Absorbances!K3</f>
        <v>0</v>
      </c>
      <c r="F90" s="23"/>
      <c r="G90" s="23"/>
      <c r="H90" s="40" t="str">
        <f t="shared" si="4"/>
        <v>Invalid</v>
      </c>
      <c r="I90" s="38"/>
      <c r="J90" s="38">
        <v>1</v>
      </c>
      <c r="K90" s="160" t="str">
        <f>IF(AND(ISBLANK(E90),ISBLANK(E91)),"",IF(AVERAGE($E90:$E91)&gt;$D$22,"LESS than Standard 1, outside of quantifiable range",IF(AVERAGE($E90:$E91)&lt;$D$26,"GREATER than Standard 5, outside of quantifiable range","")))</f>
        <v>GREATER than Standard 5, outside of quantifiable range</v>
      </c>
      <c r="L90" s="161"/>
      <c r="M90" s="162"/>
      <c r="N90" s="6"/>
      <c r="O90" s="6"/>
      <c r="P90" s="6"/>
      <c r="Q90" s="6"/>
      <c r="R90" s="6"/>
      <c r="S90" s="6"/>
      <c r="T90" s="5"/>
    </row>
    <row r="91" spans="1:20" ht="16.2" thickBot="1" x14ac:dyDescent="0.35">
      <c r="A91" s="173"/>
      <c r="B91" s="123" t="str">
        <f>Absorbances!K15</f>
        <v>ODNR_6_D</v>
      </c>
      <c r="C91" s="65"/>
      <c r="D91" s="24" t="s">
        <v>53</v>
      </c>
      <c r="E91" s="24">
        <f>Absorbances!K4</f>
        <v>0</v>
      </c>
      <c r="F91" s="25">
        <f>IF(OR(ISBLANK(E90),ISBLANK(E91)),"",STDEV(E90,E91))</f>
        <v>0</v>
      </c>
      <c r="G91" s="25" t="e">
        <f>IF(ISTEXT(F91),"",F91/((E90+E91)/2)*100)</f>
        <v>#DIV/0!</v>
      </c>
      <c r="H91" s="31" t="str">
        <f t="shared" si="4"/>
        <v>Invalid</v>
      </c>
      <c r="I91" s="35" t="str">
        <f>IF(AND(ISBLANK(E90),ISBLANK(E91)),"",IF(OR(ISBLANK(E91),ISBLANK(E90)),AVERAGE(H90:H91),IF(OR(ISTEXT(H90),ISTEXT(H91)),"Invalid",AVERAGE(H90:H91))))</f>
        <v>Invalid</v>
      </c>
      <c r="J91" s="35">
        <v>1</v>
      </c>
      <c r="K91" s="155"/>
      <c r="L91" s="156"/>
      <c r="M91" s="157"/>
      <c r="N91" s="6"/>
      <c r="O91" s="6"/>
      <c r="P91" s="6"/>
      <c r="Q91" s="6"/>
      <c r="R91" s="6"/>
      <c r="S91" s="6"/>
      <c r="T91" s="5"/>
    </row>
    <row r="92" spans="1:20" ht="16.2" thickTop="1" x14ac:dyDescent="0.3">
      <c r="A92" s="172">
        <v>28</v>
      </c>
      <c r="B92" s="126" t="str">
        <f>Absorbances!K16</f>
        <v>Bridge_T</v>
      </c>
      <c r="C92" s="64"/>
      <c r="D92" s="22" t="s">
        <v>52</v>
      </c>
      <c r="E92" s="16">
        <f>Absorbances!K5</f>
        <v>0</v>
      </c>
      <c r="F92" s="17"/>
      <c r="G92" s="17"/>
      <c r="H92" s="40" t="str">
        <f t="shared" si="4"/>
        <v>Invalid</v>
      </c>
      <c r="I92" s="37"/>
      <c r="J92" s="38">
        <v>1</v>
      </c>
      <c r="K92" s="160" t="str">
        <f>IF(AND(ISBLANK(E92),ISBLANK(E93)),"",IF(AVERAGE($E92:$E93)&gt;$D$22,"LESS than Standard 1, outside of quantifiable range",IF(AVERAGE($E92:$E93)&lt;$D$26,"GREATER than Standard 5, outside of quantifiable range","")))</f>
        <v>GREATER than Standard 5, outside of quantifiable range</v>
      </c>
      <c r="L92" s="161"/>
      <c r="M92" s="162"/>
      <c r="N92" s="6"/>
      <c r="O92" s="6"/>
      <c r="P92" s="6"/>
      <c r="Q92" s="6"/>
      <c r="R92" s="6"/>
      <c r="S92" s="6"/>
      <c r="T92" s="5"/>
    </row>
    <row r="93" spans="1:20" ht="16.2" thickBot="1" x14ac:dyDescent="0.35">
      <c r="A93" s="173"/>
      <c r="B93" s="123" t="str">
        <f>Absorbances!K17</f>
        <v>Bridge_T</v>
      </c>
      <c r="C93" s="65"/>
      <c r="D93" s="24" t="s">
        <v>52</v>
      </c>
      <c r="E93" s="26">
        <f>Absorbances!K6</f>
        <v>0</v>
      </c>
      <c r="F93" s="25">
        <f>IF(OR(ISBLANK(E92),ISBLANK(E93)),"",STDEV(E92,E93))</f>
        <v>0</v>
      </c>
      <c r="G93" s="25" t="e">
        <f>IF(ISTEXT(F93),"",F93/((E92+E93)/2)*100)</f>
        <v>#DIV/0!</v>
      </c>
      <c r="H93" s="31" t="str">
        <f t="shared" si="4"/>
        <v>Invalid</v>
      </c>
      <c r="I93" s="35" t="str">
        <f>IF(AND(ISBLANK(E92),ISBLANK(E93)),"",IF(OR(ISBLANK(E93),ISBLANK(E92)),AVERAGE(H92:H93),IF(OR(ISTEXT(H92),ISTEXT(H93)),"Invalid",AVERAGE(H92:H93))))</f>
        <v>Invalid</v>
      </c>
      <c r="J93" s="35">
        <v>1</v>
      </c>
      <c r="K93" s="155"/>
      <c r="L93" s="156"/>
      <c r="M93" s="157"/>
      <c r="N93" s="6"/>
      <c r="O93" s="6"/>
      <c r="P93" s="6"/>
      <c r="Q93" s="6"/>
      <c r="R93" s="6"/>
      <c r="S93" s="6"/>
      <c r="T93" s="5"/>
    </row>
    <row r="94" spans="1:20" ht="16.2" thickTop="1" x14ac:dyDescent="0.3">
      <c r="A94" s="172">
        <v>29</v>
      </c>
      <c r="B94" s="124" t="str">
        <f>Absorbances!K18</f>
        <v>Bridge_D</v>
      </c>
      <c r="C94" s="64"/>
      <c r="D94" s="22" t="s">
        <v>53</v>
      </c>
      <c r="E94" s="22">
        <f>Absorbances!K7</f>
        <v>0</v>
      </c>
      <c r="F94" s="23"/>
      <c r="G94" s="23"/>
      <c r="H94" s="40" t="str">
        <f t="shared" si="4"/>
        <v>Invalid</v>
      </c>
      <c r="I94" s="33"/>
      <c r="J94" s="38">
        <v>1</v>
      </c>
      <c r="K94" s="160" t="str">
        <f>IF(AND(ISBLANK(E94),ISBLANK(E95)),"",IF(AVERAGE($E94:$E95)&gt;$D$22,"LESS than Standard 1, outside of quantifiable range",IF(AVERAGE($E94:$E95)&lt;$D$26,"GREATER than Standard 5, outside of quantifiable range","")))</f>
        <v>GREATER than Standard 5, outside of quantifiable range</v>
      </c>
      <c r="L94" s="161"/>
      <c r="M94" s="162"/>
      <c r="N94" s="6"/>
      <c r="O94" s="6"/>
      <c r="P94" s="6"/>
      <c r="Q94" s="6"/>
      <c r="R94" s="6"/>
      <c r="S94" s="6"/>
      <c r="T94" s="5"/>
    </row>
    <row r="95" spans="1:20" ht="16.2" thickBot="1" x14ac:dyDescent="0.35">
      <c r="A95" s="173"/>
      <c r="B95" s="125" t="str">
        <f>Absorbances!K19</f>
        <v>Bridge_D</v>
      </c>
      <c r="C95" s="65"/>
      <c r="D95" s="24" t="s">
        <v>53</v>
      </c>
      <c r="E95" s="24">
        <f>Absorbances!K8</f>
        <v>0</v>
      </c>
      <c r="F95" s="25">
        <f>IF(OR(ISBLANK(E94),ISBLANK(E95)),"",STDEV(E94,E95))</f>
        <v>0</v>
      </c>
      <c r="G95" s="25" t="e">
        <f>IF(ISTEXT(F95),"",F95/((E94+E95)/2)*100)</f>
        <v>#DIV/0!</v>
      </c>
      <c r="H95" s="31" t="str">
        <f t="shared" si="4"/>
        <v>Invalid</v>
      </c>
      <c r="I95" s="35" t="str">
        <f>IF(AND(ISBLANK(E94),ISBLANK(E95)),"",IF(OR(ISBLANK(E95),ISBLANK(E94)),AVERAGE(H94:H95),IF(OR(ISTEXT(H94),ISTEXT(H95)),"Invalid",AVERAGE(H94:H95))))</f>
        <v>Invalid</v>
      </c>
      <c r="J95" s="35">
        <v>1</v>
      </c>
      <c r="K95" s="155"/>
      <c r="L95" s="156"/>
      <c r="M95" s="157"/>
      <c r="N95" s="6"/>
      <c r="O95" s="6"/>
      <c r="P95" s="6"/>
      <c r="Q95" s="6"/>
      <c r="R95" s="6"/>
      <c r="S95" s="6"/>
      <c r="T95" s="5"/>
    </row>
    <row r="96" spans="1:20" ht="16.2" thickTop="1" x14ac:dyDescent="0.3">
      <c r="A96" s="172">
        <v>30</v>
      </c>
      <c r="B96" s="126" t="str">
        <f>Absorbances!K20</f>
        <v>ODNR_2_T</v>
      </c>
      <c r="C96" s="64"/>
      <c r="D96" s="22" t="s">
        <v>52</v>
      </c>
      <c r="E96" s="16">
        <f>Absorbances!K9</f>
        <v>0</v>
      </c>
      <c r="F96" s="17"/>
      <c r="G96" s="17"/>
      <c r="H96" s="40" t="str">
        <f t="shared" si="4"/>
        <v>Invalid</v>
      </c>
      <c r="I96" s="32"/>
      <c r="J96" s="38">
        <v>1</v>
      </c>
      <c r="K96" s="160" t="str">
        <f>IF(AND(ISBLANK(E96),ISBLANK(E97)),"",IF(AVERAGE($E96:$E97)&gt;$D$22,"LESS than Standard 1, outside of quantifiable range",IF(AVERAGE($E96:$E97)&lt;$D$26,"GREATER than Standard 5, outside of quantifiable range","")))</f>
        <v>GREATER than Standard 5, outside of quantifiable range</v>
      </c>
      <c r="L96" s="161"/>
      <c r="M96" s="162"/>
      <c r="N96" s="6"/>
      <c r="O96" s="6"/>
      <c r="P96" s="6"/>
      <c r="Q96" s="6"/>
      <c r="R96" s="6"/>
      <c r="S96" s="6"/>
      <c r="T96" s="5"/>
    </row>
    <row r="97" spans="1:20" ht="16.2" thickBot="1" x14ac:dyDescent="0.35">
      <c r="A97" s="173"/>
      <c r="B97" s="123" t="str">
        <f>Absorbances!K21</f>
        <v>ODNR_2_T</v>
      </c>
      <c r="C97" s="65"/>
      <c r="D97" s="24" t="s">
        <v>52</v>
      </c>
      <c r="E97" s="24">
        <f>Absorbances!K10</f>
        <v>0</v>
      </c>
      <c r="F97" s="25">
        <f>IF(OR(ISBLANK(E96),ISBLANK(E97)),"",STDEV(E96,E97))</f>
        <v>0</v>
      </c>
      <c r="G97" s="25" t="e">
        <f>IF(ISTEXT(F97),"",F97/((E96+E97)/2)*100)</f>
        <v>#DIV/0!</v>
      </c>
      <c r="H97" s="31" t="str">
        <f t="shared" si="4"/>
        <v>Invalid</v>
      </c>
      <c r="I97" s="35" t="str">
        <f>IF(AND(ISBLANK(E96),ISBLANK(E97)),"",IF(OR(ISBLANK(E97),ISBLANK(E96)),AVERAGE(H96:H97),IF(OR(ISTEXT(H96),ISTEXT(H97)),"Invalid",AVERAGE(H96:H97))))</f>
        <v>Invalid</v>
      </c>
      <c r="J97" s="35">
        <v>1</v>
      </c>
      <c r="K97" s="155"/>
      <c r="L97" s="156"/>
      <c r="M97" s="157"/>
      <c r="N97" s="6"/>
      <c r="O97" s="6"/>
      <c r="P97" s="6"/>
      <c r="Q97" s="6"/>
      <c r="R97" s="6"/>
      <c r="S97" s="6"/>
      <c r="T97" s="5"/>
    </row>
    <row r="98" spans="1:20" ht="16.2" thickTop="1" x14ac:dyDescent="0.3">
      <c r="A98" s="172">
        <v>31</v>
      </c>
      <c r="B98" s="126" t="str">
        <f>Absorbances!L14</f>
        <v>ODNR_2_D</v>
      </c>
      <c r="C98" s="64"/>
      <c r="D98" s="22" t="s">
        <v>53</v>
      </c>
      <c r="E98" s="22">
        <f>Absorbances!L3</f>
        <v>0</v>
      </c>
      <c r="F98" s="23"/>
      <c r="G98" s="23"/>
      <c r="H98" s="40" t="str">
        <f t="shared" si="4"/>
        <v>Invalid</v>
      </c>
      <c r="I98" s="38"/>
      <c r="J98" s="38">
        <v>1</v>
      </c>
      <c r="K98" s="160" t="str">
        <f>IF(AND(ISBLANK(E98),ISBLANK(E99)),"",IF(AVERAGE($E98:$E99)&gt;$D$22,"LESS than Standard 1, outside of quantifiable range",IF(AVERAGE($E98:$E99)&lt;$D$26,"GREATER than Standard 5, outside of quantifiable range","")))</f>
        <v>GREATER than Standard 5, outside of quantifiable range</v>
      </c>
      <c r="L98" s="161"/>
      <c r="M98" s="162"/>
      <c r="N98" s="6"/>
      <c r="O98" s="6"/>
      <c r="P98" s="6"/>
      <c r="Q98" s="6"/>
      <c r="R98" s="6"/>
      <c r="S98" s="6"/>
      <c r="T98" s="5"/>
    </row>
    <row r="99" spans="1:20" ht="16.2" thickBot="1" x14ac:dyDescent="0.35">
      <c r="A99" s="173"/>
      <c r="B99" s="123" t="str">
        <f>Absorbances!L15</f>
        <v>ODNR_2_D</v>
      </c>
      <c r="C99" s="65"/>
      <c r="D99" s="24" t="s">
        <v>53</v>
      </c>
      <c r="E99" s="24">
        <f>Absorbances!L4</f>
        <v>0</v>
      </c>
      <c r="F99" s="25">
        <f>IF(OR(ISBLANK(E98),ISBLANK(E99)),"",STDEV(E98,E99))</f>
        <v>0</v>
      </c>
      <c r="G99" s="25" t="e">
        <f>IF(ISTEXT(F99),"",F99/((E98+E99)/2)*100)</f>
        <v>#DIV/0!</v>
      </c>
      <c r="H99" s="31" t="str">
        <f t="shared" si="4"/>
        <v>Invalid</v>
      </c>
      <c r="I99" s="35" t="str">
        <f>IF(AND(ISBLANK(E98),ISBLANK(E99)),"",IF(OR(ISBLANK(E99),ISBLANK(E98)),AVERAGE(H98:H99),IF(OR(ISTEXT(H98),ISTEXT(H99)),"Invalid",AVERAGE(H98:H99))))</f>
        <v>Invalid</v>
      </c>
      <c r="J99" s="35">
        <v>1</v>
      </c>
      <c r="K99" s="155"/>
      <c r="L99" s="156"/>
      <c r="M99" s="157"/>
      <c r="N99" s="6"/>
      <c r="O99" s="6"/>
      <c r="P99" s="6"/>
      <c r="Q99" s="6"/>
      <c r="R99" s="6"/>
      <c r="S99" s="6"/>
      <c r="T99" s="5"/>
    </row>
    <row r="100" spans="1:20" ht="16.2" thickTop="1" x14ac:dyDescent="0.3">
      <c r="A100" s="172">
        <v>32</v>
      </c>
      <c r="B100" s="124" t="str">
        <f>Absorbances!L16</f>
        <v>Buoy_2_T</v>
      </c>
      <c r="C100" s="64"/>
      <c r="D100" s="22" t="s">
        <v>52</v>
      </c>
      <c r="E100" s="22">
        <f>Absorbances!L5</f>
        <v>0</v>
      </c>
      <c r="F100" s="28"/>
      <c r="G100" s="17"/>
      <c r="H100" s="40" t="str">
        <f t="shared" si="4"/>
        <v>Invalid</v>
      </c>
      <c r="I100" s="37"/>
      <c r="J100" s="38">
        <v>1</v>
      </c>
      <c r="K100" s="160" t="str">
        <f>IF(AND(ISBLANK(E100),ISBLANK(E101)),"",IF(AVERAGE($E100:$E101)&gt;$D$22,"LESS than Standard 1, outside of quantifiable range",IF(AVERAGE($E100:$E101)&lt;$D$26,"GREATER than Standard 5, outside of quantifiable range","")))</f>
        <v>GREATER than Standard 5, outside of quantifiable range</v>
      </c>
      <c r="L100" s="161"/>
      <c r="M100" s="162"/>
      <c r="N100" s="6"/>
      <c r="O100" s="6"/>
      <c r="P100" s="6"/>
      <c r="Q100" s="6"/>
      <c r="R100" s="6"/>
      <c r="S100" s="6"/>
      <c r="T100" s="5"/>
    </row>
    <row r="101" spans="1:20" ht="16.2" thickBot="1" x14ac:dyDescent="0.35">
      <c r="A101" s="173"/>
      <c r="B101" s="125" t="str">
        <f>Absorbances!L17</f>
        <v>Buoy_2_T</v>
      </c>
      <c r="C101" s="65"/>
      <c r="D101" s="24" t="s">
        <v>52</v>
      </c>
      <c r="E101" s="29">
        <f>Absorbances!L6</f>
        <v>0</v>
      </c>
      <c r="F101" s="25">
        <f>IF(OR(ISBLANK(E100),ISBLANK(E101)),"",STDEV(E100,E101))</f>
        <v>0</v>
      </c>
      <c r="G101" s="25" t="e">
        <f>IF(ISTEXT(F101),"",F101/((E100+E101)/2)*100)</f>
        <v>#DIV/0!</v>
      </c>
      <c r="H101" s="31" t="str">
        <f t="shared" si="4"/>
        <v>Invalid</v>
      </c>
      <c r="I101" s="35" t="str">
        <f>IF(AND(ISBLANK(E100),ISBLANK(E101)),"",IF(OR(ISBLANK(E101),ISBLANK(E100)),AVERAGE(H100:H101),IF(OR(ISTEXT(H100),ISTEXT(H101)),"Invalid",AVERAGE(H100:H101))))</f>
        <v>Invalid</v>
      </c>
      <c r="J101" s="35">
        <v>1</v>
      </c>
      <c r="K101" s="155"/>
      <c r="L101" s="156"/>
      <c r="M101" s="157"/>
      <c r="N101" s="6"/>
      <c r="O101" s="6"/>
      <c r="P101" s="6"/>
      <c r="Q101" s="6"/>
      <c r="R101" s="6"/>
      <c r="S101" s="6"/>
      <c r="T101" s="5"/>
    </row>
    <row r="102" spans="1:20" ht="16.2" thickTop="1" x14ac:dyDescent="0.3">
      <c r="A102" s="172">
        <v>33</v>
      </c>
      <c r="B102" s="126" t="str">
        <f>Absorbances!L18</f>
        <v>Buoy_2_D</v>
      </c>
      <c r="C102" s="64"/>
      <c r="D102" s="22" t="s">
        <v>53</v>
      </c>
      <c r="E102" s="22">
        <f>Absorbances!L7</f>
        <v>0</v>
      </c>
      <c r="F102" s="23"/>
      <c r="G102" s="23"/>
      <c r="H102" s="40" t="str">
        <f t="shared" ref="H102:H133" si="5">IF(ISBLANK(E102),"",IF(E102&lt;=$C$33,"Invalid",IF(E102&gt;=$C$30,"Invalid",$C$32*(($C$30-E102)/(E102-$C$33))^(1/$C$31))))</f>
        <v>Invalid</v>
      </c>
      <c r="I102" s="38"/>
      <c r="J102" s="38">
        <v>1</v>
      </c>
      <c r="K102" s="160" t="str">
        <f>IF(AND(ISBLANK(E102),ISBLANK(E103)),"",IF(AVERAGE($E102:$E103)&gt;$D$22,"LESS than Standard 1, outside of quantifiable range",IF(AVERAGE($E102:$E103)&lt;$D$26,"GREATER than Standard 5, outside of quantifiable range","")))</f>
        <v>GREATER than Standard 5, outside of quantifiable range</v>
      </c>
      <c r="L102" s="161"/>
      <c r="M102" s="162"/>
      <c r="N102" s="6"/>
      <c r="O102" s="6"/>
      <c r="P102" s="6"/>
      <c r="Q102" s="6"/>
      <c r="R102" s="6"/>
      <c r="S102" s="6"/>
      <c r="T102" s="5"/>
    </row>
    <row r="103" spans="1:20" ht="16.2" thickBot="1" x14ac:dyDescent="0.35">
      <c r="A103" s="173"/>
      <c r="B103" s="123" t="str">
        <f>Absorbances!L19</f>
        <v>Buoy_2_D</v>
      </c>
      <c r="C103" s="65"/>
      <c r="D103" s="24" t="s">
        <v>53</v>
      </c>
      <c r="E103" s="24">
        <f>Absorbances!L8</f>
        <v>0</v>
      </c>
      <c r="F103" s="25">
        <f>IF(OR(ISBLANK(E102),ISBLANK(E103)),"",STDEV(E102,E103))</f>
        <v>0</v>
      </c>
      <c r="G103" s="25" t="e">
        <f>IF(ISTEXT(F103),"",F103/((E102+E103)/2)*100)</f>
        <v>#DIV/0!</v>
      </c>
      <c r="H103" s="31" t="str">
        <f t="shared" si="5"/>
        <v>Invalid</v>
      </c>
      <c r="I103" s="35" t="str">
        <f>IF(AND(ISBLANK(E102),ISBLANK(E103)),"",IF(OR(ISBLANK(E103),ISBLANK(E102)),AVERAGE(H102:H103),IF(OR(ISTEXT(H102),ISTEXT(H103)),"Invalid",AVERAGE(H102:H103))))</f>
        <v>Invalid</v>
      </c>
      <c r="J103" s="35">
        <v>1</v>
      </c>
      <c r="K103" s="155"/>
      <c r="L103" s="156"/>
      <c r="M103" s="157"/>
      <c r="N103" s="6"/>
      <c r="O103" s="6"/>
      <c r="P103" s="6"/>
      <c r="Q103" s="6"/>
      <c r="R103" s="6"/>
      <c r="S103" s="6"/>
      <c r="T103" s="5"/>
    </row>
    <row r="104" spans="1:20" ht="16.2" thickTop="1" x14ac:dyDescent="0.3">
      <c r="A104" s="172">
        <v>34</v>
      </c>
      <c r="B104" s="126" t="str">
        <f>Absorbances!L20</f>
        <v>ODNR_1_T</v>
      </c>
      <c r="C104" s="64"/>
      <c r="D104" s="22" t="s">
        <v>52</v>
      </c>
      <c r="E104" s="16">
        <f>Absorbances!L9</f>
        <v>0</v>
      </c>
      <c r="F104" s="17"/>
      <c r="G104" s="17"/>
      <c r="H104" s="40" t="str">
        <f t="shared" si="5"/>
        <v>Invalid</v>
      </c>
      <c r="I104" s="37"/>
      <c r="J104" s="38">
        <v>1</v>
      </c>
      <c r="K104" s="160" t="str">
        <f>IF(AND(ISBLANK(E104),ISBLANK(E105)),"",IF(AVERAGE($E104:$E105)&gt;$D$22,"LESS than Standard 1, outside of quantifiable range",IF(AVERAGE($E104:$E105)&lt;$D$26,"GREATER than Standard 5, outside of quantifiable range","")))</f>
        <v>GREATER than Standard 5, outside of quantifiable range</v>
      </c>
      <c r="L104" s="161"/>
      <c r="M104" s="162"/>
      <c r="N104" s="6"/>
      <c r="O104" s="6"/>
      <c r="P104" s="6"/>
      <c r="Q104" s="6"/>
      <c r="R104" s="6"/>
      <c r="S104" s="6"/>
      <c r="T104" s="5"/>
    </row>
    <row r="105" spans="1:20" ht="16.2" thickBot="1" x14ac:dyDescent="0.35">
      <c r="A105" s="173"/>
      <c r="B105" s="123" t="str">
        <f>Absorbances!L21</f>
        <v>ODNR_1_T</v>
      </c>
      <c r="C105" s="65"/>
      <c r="D105" s="24" t="s">
        <v>52</v>
      </c>
      <c r="E105" s="26">
        <f>Absorbances!L10</f>
        <v>0</v>
      </c>
      <c r="F105" s="25">
        <f>IF(OR(ISBLANK(E104),ISBLANK(E105)),"",STDEV(E104,E105))</f>
        <v>0</v>
      </c>
      <c r="G105" s="25" t="e">
        <f>IF(ISTEXT(F105),"",F105/((E104+E105)/2)*100)</f>
        <v>#DIV/0!</v>
      </c>
      <c r="H105" s="31" t="str">
        <f t="shared" si="5"/>
        <v>Invalid</v>
      </c>
      <c r="I105" s="35" t="str">
        <f>IF(AND(ISBLANK(E104),ISBLANK(E105)),"",IF(OR(ISBLANK(E105),ISBLANK(E104)),AVERAGE(H104:H105),IF(OR(ISTEXT(H104),ISTEXT(H105)),"Invalid",AVERAGE(H104:H105))))</f>
        <v>Invalid</v>
      </c>
      <c r="J105" s="35">
        <v>1</v>
      </c>
      <c r="K105" s="155"/>
      <c r="L105" s="156"/>
      <c r="M105" s="157"/>
      <c r="N105" s="6"/>
      <c r="O105" s="6"/>
      <c r="P105" s="6"/>
      <c r="Q105" s="6"/>
      <c r="R105" s="6"/>
      <c r="S105" s="6"/>
      <c r="T105" s="5"/>
    </row>
    <row r="106" spans="1:20" ht="16.2" thickTop="1" x14ac:dyDescent="0.3">
      <c r="A106" s="172">
        <v>35</v>
      </c>
      <c r="B106" s="124" t="str">
        <f>Absorbances!M14</f>
        <v>ODNR_1_D</v>
      </c>
      <c r="C106" s="64"/>
      <c r="D106" s="22" t="s">
        <v>53</v>
      </c>
      <c r="E106" s="22">
        <f>Absorbances!M3</f>
        <v>0</v>
      </c>
      <c r="F106" s="23"/>
      <c r="G106" s="23"/>
      <c r="H106" s="41" t="str">
        <f t="shared" si="5"/>
        <v>Invalid</v>
      </c>
      <c r="I106" s="38"/>
      <c r="J106" s="38">
        <v>1</v>
      </c>
      <c r="K106" s="160" t="str">
        <f>IF(AND(ISBLANK(E106),ISBLANK(E107)),"",IF(AVERAGE($E106:$E107)&gt;$D$22,"LESS than Standard 1, outside of quantifiable range",IF(AVERAGE($E106:$E107)&lt;$D$26,"GREATER than Standard 5, outside of quantifiable range","")))</f>
        <v>GREATER than Standard 5, outside of quantifiable range</v>
      </c>
      <c r="L106" s="161"/>
      <c r="M106" s="162"/>
      <c r="N106" s="6"/>
      <c r="O106" s="6"/>
      <c r="P106" s="6"/>
      <c r="Q106" s="6"/>
      <c r="R106" s="6"/>
      <c r="S106" s="6"/>
      <c r="T106" s="5"/>
    </row>
    <row r="107" spans="1:20" ht="16.2" thickBot="1" x14ac:dyDescent="0.35">
      <c r="A107" s="173"/>
      <c r="B107" s="125" t="str">
        <f>Absorbances!M15</f>
        <v>ODNR_1_D</v>
      </c>
      <c r="C107" s="65"/>
      <c r="D107" s="24" t="s">
        <v>53</v>
      </c>
      <c r="E107" s="24">
        <f>Absorbances!M4</f>
        <v>0</v>
      </c>
      <c r="F107" s="25">
        <f>IF(OR(ISBLANK(E106),ISBLANK(E107)),"",STDEV(E106,E107))</f>
        <v>0</v>
      </c>
      <c r="G107" s="25" t="e">
        <f>IF(ISTEXT(F107),"",F107/((E106+E107)/2)*100)</f>
        <v>#DIV/0!</v>
      </c>
      <c r="H107" s="31" t="str">
        <f t="shared" si="5"/>
        <v>Invalid</v>
      </c>
      <c r="I107" s="35" t="str">
        <f>IF(AND(ISBLANK(E106),ISBLANK(E107)),"",IF(OR(ISBLANK(E107),ISBLANK(E106)),AVERAGE(H106:H107),IF(OR(ISTEXT(H106),ISTEXT(H107)),"Invalid",AVERAGE(H106:H107))))</f>
        <v>Invalid</v>
      </c>
      <c r="J107" s="35">
        <v>1</v>
      </c>
      <c r="K107" s="155"/>
      <c r="L107" s="156"/>
      <c r="M107" s="157"/>
      <c r="N107" s="6"/>
      <c r="O107" s="6"/>
      <c r="P107" s="6"/>
      <c r="Q107" s="6"/>
      <c r="R107" s="6"/>
      <c r="S107" s="6"/>
      <c r="T107" s="5"/>
    </row>
    <row r="108" spans="1:20" ht="16.2" thickTop="1" x14ac:dyDescent="0.3">
      <c r="A108" s="172">
        <v>36</v>
      </c>
      <c r="B108" s="126" t="str">
        <f>Absorbances!M16</f>
        <v>EC_1163_T</v>
      </c>
      <c r="C108" s="64"/>
      <c r="D108" s="22" t="s">
        <v>52</v>
      </c>
      <c r="E108" s="16">
        <f>Absorbances!M5</f>
        <v>0</v>
      </c>
      <c r="F108" s="17"/>
      <c r="G108" s="17"/>
      <c r="H108" s="40" t="str">
        <f t="shared" si="5"/>
        <v>Invalid</v>
      </c>
      <c r="I108" s="37"/>
      <c r="J108" s="38">
        <v>1</v>
      </c>
      <c r="K108" s="160" t="str">
        <f>IF(AND(ISBLANK(E108),ISBLANK(E109)),"",IF(AVERAGE($E108:$E109)&gt;$D$22,"LESS than Standard 1, outside of quantifiable range",IF(AVERAGE($E108:$E109)&lt;$D$26,"GREATER than Standard 5, outside of quantifiable range","")))</f>
        <v>GREATER than Standard 5, outside of quantifiable range</v>
      </c>
      <c r="L108" s="161"/>
      <c r="M108" s="162"/>
      <c r="N108" s="5"/>
      <c r="O108" s="5"/>
      <c r="P108" s="5"/>
      <c r="Q108" s="5"/>
      <c r="R108" s="5"/>
      <c r="S108" s="5"/>
      <c r="T108" s="5"/>
    </row>
    <row r="109" spans="1:20" ht="16.2" thickBot="1" x14ac:dyDescent="0.35">
      <c r="A109" s="173"/>
      <c r="B109" s="123" t="str">
        <f>Absorbances!M17</f>
        <v>EC_1163_T</v>
      </c>
      <c r="C109" s="65"/>
      <c r="D109" s="24" t="s">
        <v>52</v>
      </c>
      <c r="E109" s="26">
        <f>Absorbances!M6</f>
        <v>0</v>
      </c>
      <c r="F109" s="25">
        <f>IF(OR(ISBLANK(E108),ISBLANK(E109)),"",STDEV(E108,E109))</f>
        <v>0</v>
      </c>
      <c r="G109" s="25" t="e">
        <f>IF(ISTEXT(F109),"",F109/((E108+E109)/2)*100)</f>
        <v>#DIV/0!</v>
      </c>
      <c r="H109" s="31" t="str">
        <f t="shared" si="5"/>
        <v>Invalid</v>
      </c>
      <c r="I109" s="35" t="str">
        <f>IF(AND(ISBLANK(E108),ISBLANK(E109)),"",IF(OR(ISBLANK(E109),ISBLANK(E108)),AVERAGE(H108:H109),IF(OR(ISTEXT(H108),ISTEXT(H109)),"Invalid",AVERAGE(H108:H109))))</f>
        <v>Invalid</v>
      </c>
      <c r="J109" s="35">
        <v>1</v>
      </c>
      <c r="K109" s="155"/>
      <c r="L109" s="156"/>
      <c r="M109" s="157"/>
      <c r="N109" s="5"/>
      <c r="O109" s="5"/>
      <c r="P109" s="5"/>
      <c r="Q109" s="5"/>
      <c r="R109" s="5"/>
      <c r="S109" s="5"/>
      <c r="T109" s="5"/>
    </row>
    <row r="110" spans="1:20" ht="16.2" thickTop="1" x14ac:dyDescent="0.3">
      <c r="A110" s="172">
        <v>37</v>
      </c>
      <c r="B110" s="126" t="str">
        <f>Absorbances!M18</f>
        <v>EC_1163_D</v>
      </c>
      <c r="C110" s="64"/>
      <c r="D110" s="22" t="s">
        <v>53</v>
      </c>
      <c r="E110" s="22">
        <f>Absorbances!M7</f>
        <v>0</v>
      </c>
      <c r="F110" s="23"/>
      <c r="G110" s="23"/>
      <c r="H110" s="40" t="str">
        <f t="shared" si="5"/>
        <v>Invalid</v>
      </c>
      <c r="I110" s="38"/>
      <c r="J110" s="38">
        <v>1</v>
      </c>
      <c r="K110" s="160" t="str">
        <f>IF(AND(ISBLANK(E110),ISBLANK(E111)),"",IF(AVERAGE($E110:$E111)&gt;$D$22,"LESS than Standard 1, outside of quantifiable range",IF(AVERAGE($E110:$E111)&lt;$D$26,"GREATER than Standard 5, outside of quantifiable range","")))</f>
        <v>GREATER than Standard 5, outside of quantifiable range</v>
      </c>
      <c r="L110" s="161"/>
      <c r="M110" s="162"/>
    </row>
    <row r="111" spans="1:20" ht="16.2" thickBot="1" x14ac:dyDescent="0.35">
      <c r="A111" s="173"/>
      <c r="B111" s="123" t="str">
        <f>Absorbances!M19</f>
        <v>EC_1163_D</v>
      </c>
      <c r="C111" s="65"/>
      <c r="D111" s="24" t="s">
        <v>53</v>
      </c>
      <c r="E111" s="24">
        <f>Absorbances!M8</f>
        <v>0</v>
      </c>
      <c r="F111" s="25">
        <f>IF(OR(ISBLANK(E110),ISBLANK(E111)),"",STDEV(E110,E111))</f>
        <v>0</v>
      </c>
      <c r="G111" s="25" t="e">
        <f>IF(ISTEXT(F111),"",F111/((E110+E111)/2)*100)</f>
        <v>#DIV/0!</v>
      </c>
      <c r="H111" s="31" t="str">
        <f t="shared" si="5"/>
        <v>Invalid</v>
      </c>
      <c r="I111" s="35" t="str">
        <f>IF(AND(ISBLANK(E110),ISBLANK(E111)),"",IF(OR(ISBLANK(E111),ISBLANK(E110)),AVERAGE(H110:H111),IF(OR(ISTEXT(H110),ISTEXT(H111)),"Invalid",AVERAGE(H110:H111))))</f>
        <v>Invalid</v>
      </c>
      <c r="J111" s="35">
        <v>1</v>
      </c>
      <c r="K111" s="155"/>
      <c r="L111" s="156"/>
      <c r="M111" s="157"/>
    </row>
    <row r="112" spans="1:20" ht="16.2" thickTop="1" x14ac:dyDescent="0.3">
      <c r="A112" s="172">
        <v>38</v>
      </c>
      <c r="B112" s="124" t="str">
        <f>Absorbances!M20</f>
        <v>Causeway_T</v>
      </c>
      <c r="C112" s="64"/>
      <c r="D112" s="22" t="s">
        <v>52</v>
      </c>
      <c r="E112" s="16">
        <f>Absorbances!M9</f>
        <v>0</v>
      </c>
      <c r="F112" s="17"/>
      <c r="G112" s="17"/>
      <c r="H112" s="40" t="str">
        <f t="shared" si="5"/>
        <v>Invalid</v>
      </c>
      <c r="I112" s="37"/>
      <c r="J112" s="38">
        <v>1</v>
      </c>
      <c r="K112" s="160" t="str">
        <f>IF(AND(ISBLANK(E112),ISBLANK(E113)),"",IF(AVERAGE($E112:$E113)&gt;$D$22,"LESS than Standard 1, outside of quantifiable range",IF(AVERAGE($E112:$E113)&lt;$D$26,"GREATER than Standard 5, outside of quantifiable range","")))</f>
        <v>GREATER than Standard 5, outside of quantifiable range</v>
      </c>
      <c r="L112" s="161"/>
      <c r="M112" s="162"/>
    </row>
    <row r="113" spans="1:13" ht="16.2" thickBot="1" x14ac:dyDescent="0.35">
      <c r="A113" s="173"/>
      <c r="B113" s="125" t="str">
        <f>Absorbances!M21</f>
        <v>Causeway_T</v>
      </c>
      <c r="C113" s="65"/>
      <c r="D113" s="24" t="s">
        <v>52</v>
      </c>
      <c r="E113" s="26">
        <f>Absorbances!M10</f>
        <v>0</v>
      </c>
      <c r="F113" s="25">
        <f>IF(OR(ISBLANK(E112),ISBLANK(E113)),"",STDEV(E112,E113))</f>
        <v>0</v>
      </c>
      <c r="G113" s="25" t="e">
        <f>IF(ISTEXT(F113),"",F113/((E112+E113)/2)*100)</f>
        <v>#DIV/0!</v>
      </c>
      <c r="H113" s="31" t="str">
        <f t="shared" si="5"/>
        <v>Invalid</v>
      </c>
      <c r="I113" s="35" t="str">
        <f>IF(AND(ISBLANK(E112),ISBLANK(E113)),"",IF(OR(ISBLANK(E113),ISBLANK(E112)),AVERAGE(H112:H113),IF(OR(ISTEXT(H112),ISTEXT(H113)),"Invalid",AVERAGE(H112:H113))))</f>
        <v>Invalid</v>
      </c>
      <c r="J113" s="35">
        <v>1</v>
      </c>
      <c r="K113" s="155"/>
      <c r="L113" s="156"/>
      <c r="M113" s="157"/>
    </row>
    <row r="114" spans="1:13" ht="16.2" thickTop="1" x14ac:dyDescent="0.3">
      <c r="A114" s="172">
        <v>39</v>
      </c>
      <c r="B114" s="126" t="str">
        <f>Absorbances!N14</f>
        <v>Causeway_D</v>
      </c>
      <c r="C114" s="64"/>
      <c r="D114" s="22" t="s">
        <v>53</v>
      </c>
      <c r="E114" s="22">
        <f>Absorbances!N3</f>
        <v>0</v>
      </c>
      <c r="F114" s="23"/>
      <c r="G114" s="23"/>
      <c r="H114" s="40" t="str">
        <f t="shared" si="5"/>
        <v>Invalid</v>
      </c>
      <c r="I114" s="38"/>
      <c r="J114" s="38">
        <v>1</v>
      </c>
      <c r="K114" s="160" t="str">
        <f>IF(AND(ISBLANK(E114),ISBLANK(E115)),"",IF(AVERAGE($E114:$E115)&gt;$D$22,"LESS than Standard 1, outside of quantifiable range",IF(AVERAGE($E114:$E115)&lt;$D$26,"GREATER than Standard 5, outside of quantifiable range","")))</f>
        <v>GREATER than Standard 5, outside of quantifiable range</v>
      </c>
      <c r="L114" s="161"/>
      <c r="M114" s="162"/>
    </row>
    <row r="115" spans="1:13" ht="16.2" thickBot="1" x14ac:dyDescent="0.35">
      <c r="A115" s="173"/>
      <c r="B115" s="123" t="str">
        <f>Absorbances!N15</f>
        <v>Causeway_D</v>
      </c>
      <c r="C115" s="65"/>
      <c r="D115" s="24" t="s">
        <v>53</v>
      </c>
      <c r="E115" s="24">
        <f>Absorbances!N4</f>
        <v>0</v>
      </c>
      <c r="F115" s="25">
        <f>IF(OR(ISBLANK(E114),ISBLANK(E115)),"",STDEV(E114,E115))</f>
        <v>0</v>
      </c>
      <c r="G115" s="25" t="e">
        <f>IF(ISTEXT(F115),"",F115/((E114+E115)/2)*100)</f>
        <v>#DIV/0!</v>
      </c>
      <c r="H115" s="31" t="str">
        <f t="shared" si="5"/>
        <v>Invalid</v>
      </c>
      <c r="I115" s="35" t="str">
        <f>IF(AND(ISBLANK(E114),ISBLANK(E115)),"",IF(OR(ISBLANK(E115),ISBLANK(E114)),AVERAGE(H114:H115),IF(OR(ISTEXT(H114),ISTEXT(H115)),"Invalid",AVERAGE(H114:H115))))</f>
        <v>Invalid</v>
      </c>
      <c r="J115" s="35">
        <v>1</v>
      </c>
      <c r="K115" s="155"/>
      <c r="L115" s="156"/>
      <c r="M115" s="157"/>
    </row>
    <row r="116" spans="1:13" ht="16.2" thickTop="1" x14ac:dyDescent="0.3">
      <c r="A116" s="172">
        <v>40</v>
      </c>
      <c r="B116" s="126" t="str">
        <f>Absorbances!N16</f>
        <v>Bells_T</v>
      </c>
      <c r="C116" s="64"/>
      <c r="D116" s="22" t="s">
        <v>52</v>
      </c>
      <c r="E116" s="16">
        <f>Absorbances!N5</f>
        <v>0</v>
      </c>
      <c r="F116" s="17"/>
      <c r="G116" s="17"/>
      <c r="H116" s="40" t="str">
        <f t="shared" si="5"/>
        <v>Invalid</v>
      </c>
      <c r="I116" s="37"/>
      <c r="J116" s="38">
        <v>1</v>
      </c>
      <c r="K116" s="160" t="str">
        <f>IF(AND(ISBLANK(E116),ISBLANK(E117)),"",IF(AVERAGE($E116:$E117)&gt;$D$22,"LESS than Standard 1, outside of quantifiable range",IF(AVERAGE($E116:$E117)&lt;$D$26,"GREATER than Standard 5, outside of quantifiable range","")))</f>
        <v>GREATER than Standard 5, outside of quantifiable range</v>
      </c>
      <c r="L116" s="161"/>
      <c r="M116" s="162"/>
    </row>
    <row r="117" spans="1:13" ht="16.2" thickBot="1" x14ac:dyDescent="0.35">
      <c r="A117" s="173"/>
      <c r="B117" s="123" t="str">
        <f>Absorbances!N17</f>
        <v>Bells_T</v>
      </c>
      <c r="C117" s="65"/>
      <c r="D117" s="24" t="s">
        <v>52</v>
      </c>
      <c r="E117" s="26">
        <f>Absorbances!N6</f>
        <v>0</v>
      </c>
      <c r="F117" s="25">
        <f>IF(OR(ISBLANK(E116),ISBLANK(E117)),"",STDEV(E116,E117))</f>
        <v>0</v>
      </c>
      <c r="G117" s="25" t="e">
        <f>IF(ISTEXT(F117),"",F117/((E116+E117)/2)*100)</f>
        <v>#DIV/0!</v>
      </c>
      <c r="H117" s="31" t="str">
        <f t="shared" si="5"/>
        <v>Invalid</v>
      </c>
      <c r="I117" s="35" t="str">
        <f>IF(AND(ISBLANK(E116),ISBLANK(E117)),"",IF(OR(ISBLANK(E117),ISBLANK(E116)),AVERAGE(H116:H117),IF(OR(ISTEXT(H116),ISTEXT(H117)),"Invalid",AVERAGE(H116:H117))))</f>
        <v>Invalid</v>
      </c>
      <c r="J117" s="35">
        <v>1</v>
      </c>
      <c r="K117" s="155"/>
      <c r="L117" s="156"/>
      <c r="M117" s="157"/>
    </row>
    <row r="118" spans="1:13" ht="16.2" thickTop="1" x14ac:dyDescent="0.3">
      <c r="A118" s="172">
        <v>41</v>
      </c>
      <c r="B118" s="124" t="str">
        <f>Absorbances!N18</f>
        <v>Bells_D</v>
      </c>
      <c r="C118" s="64"/>
      <c r="D118" s="22" t="s">
        <v>53</v>
      </c>
      <c r="E118" s="22">
        <f>Absorbances!N7</f>
        <v>0</v>
      </c>
      <c r="F118" s="23"/>
      <c r="G118" s="23"/>
      <c r="H118" s="40" t="str">
        <f t="shared" si="5"/>
        <v>Invalid</v>
      </c>
      <c r="I118" s="33"/>
      <c r="J118" s="38">
        <v>1</v>
      </c>
      <c r="K118" s="160" t="str">
        <f>IF(AND(ISBLANK(E118),ISBLANK(E119)),"",IF(AVERAGE($E118:$E119)&gt;$D$22,"LESS than Standard 1, outside of quantifiable range",IF(AVERAGE($E118:$E119)&lt;$D$26,"GREATER than Standard 5, outside of quantifiable range","")))</f>
        <v>GREATER than Standard 5, outside of quantifiable range</v>
      </c>
      <c r="L118" s="161"/>
      <c r="M118" s="162"/>
    </row>
    <row r="119" spans="1:13" ht="16.2" thickBot="1" x14ac:dyDescent="0.35">
      <c r="A119" s="173"/>
      <c r="B119" s="123" t="str">
        <f>Absorbances!N19</f>
        <v>Bells_D</v>
      </c>
      <c r="C119" s="65"/>
      <c r="D119" s="24" t="s">
        <v>53</v>
      </c>
      <c r="E119" s="24">
        <f>Absorbances!N8</f>
        <v>0</v>
      </c>
      <c r="F119" s="25">
        <f>IF(OR(ISBLANK(E118),ISBLANK(E119)),"",STDEV(E118,E119))</f>
        <v>0</v>
      </c>
      <c r="G119" s="25" t="e">
        <f>IF(ISTEXT(F119),"",F119/((E118+E119)/2)*100)</f>
        <v>#DIV/0!</v>
      </c>
      <c r="H119" s="31" t="str">
        <f t="shared" si="5"/>
        <v>Invalid</v>
      </c>
      <c r="I119" s="35" t="str">
        <f>IF(AND(ISBLANK(E118),ISBLANK(E119)),"",IF(OR(ISBLANK(E119),ISBLANK(E118)),AVERAGE(H118:H119),IF(OR(ISTEXT(H118),ISTEXT(H119)),"Invalid",AVERAGE(H118:H119))))</f>
        <v>Invalid</v>
      </c>
      <c r="J119" s="35">
        <v>1</v>
      </c>
      <c r="K119" s="155"/>
      <c r="L119" s="156"/>
      <c r="M119" s="157"/>
    </row>
    <row r="120" spans="1:13" s="36" customFormat="1" ht="16.2" thickTop="1" x14ac:dyDescent="0.3">
      <c r="A120" s="172">
        <v>42</v>
      </c>
      <c r="B120" s="122" t="str">
        <f>Absorbances!N20</f>
        <v>Control</v>
      </c>
      <c r="C120" s="74"/>
      <c r="D120" s="75" t="s">
        <v>75</v>
      </c>
      <c r="E120" s="22">
        <f>Absorbances!N9</f>
        <v>0</v>
      </c>
      <c r="F120" s="66"/>
      <c r="G120" s="66"/>
      <c r="H120" s="67" t="str">
        <f t="shared" si="5"/>
        <v>Invalid</v>
      </c>
      <c r="I120" s="37"/>
      <c r="J120" s="38">
        <v>1</v>
      </c>
      <c r="K120" s="160" t="str">
        <f>IF(AND(ISBLANK(E120),ISBLANK(E121)),"",IF(AVERAGE($E120:$E121)&gt;$D$22,"LESS than Standard 1, outside of quantifiable range",IF(AVERAGE($E120:$E121)&lt;$D$26,"GREATER than Standard 5, outside of quantifiable range","")))</f>
        <v>GREATER than Standard 5, outside of quantifiable range</v>
      </c>
      <c r="L120" s="161"/>
      <c r="M120" s="162"/>
    </row>
    <row r="121" spans="1:13" s="36" customFormat="1" ht="16.2" thickBot="1" x14ac:dyDescent="0.35">
      <c r="A121" s="173"/>
      <c r="B121" s="123" t="str">
        <f>Absorbances!N21</f>
        <v>Control</v>
      </c>
      <c r="C121" s="65"/>
      <c r="D121" s="24" t="s">
        <v>75</v>
      </c>
      <c r="E121" s="24">
        <f>Absorbances!N10</f>
        <v>0</v>
      </c>
      <c r="F121" s="68">
        <f>IF(OR(ISBLANK(E120),ISBLANK(E121)),"",STDEV(E120,E121))</f>
        <v>0</v>
      </c>
      <c r="G121" s="69" t="e">
        <f>IF(ISTEXT(F121),"",F121/((E120+E121)/2)*100)</f>
        <v>#DIV/0!</v>
      </c>
      <c r="H121" s="70" t="str">
        <f t="shared" si="5"/>
        <v>Invalid</v>
      </c>
      <c r="I121" s="39" t="str">
        <f>IF(AND(ISBLANK(E120),ISBLANK(E121)),"",IF(OR(ISBLANK(E121),ISBLANK(E120)),AVERAGE(H120:H121),IF(OR(ISTEXT(H120),ISTEXT(H121)),"Invalid",AVERAGE(H120:H121))))</f>
        <v>Invalid</v>
      </c>
      <c r="J121" s="35">
        <v>1</v>
      </c>
      <c r="K121" s="155"/>
      <c r="L121" s="156"/>
      <c r="M121" s="157"/>
    </row>
    <row r="122" spans="1:13" s="36" customFormat="1" ht="16.2" thickTop="1" x14ac:dyDescent="0.3">
      <c r="A122" s="174">
        <v>43</v>
      </c>
      <c r="B122" s="112"/>
      <c r="C122" s="113"/>
      <c r="D122" s="114"/>
      <c r="E122" s="114"/>
      <c r="F122" s="115"/>
      <c r="G122" s="115"/>
      <c r="H122" s="115" t="str">
        <f t="shared" si="5"/>
        <v/>
      </c>
      <c r="I122" s="116"/>
      <c r="J122" s="116">
        <v>1</v>
      </c>
      <c r="K122" s="166" t="str">
        <f>IF(AND(ISBLANK(E122),ISBLANK(E123)),"",IF(AVERAGE($E122:$E123)&gt;$D$22,"LESS than Standard 1, outside of quantifiable range",IF(AVERAGE($E122:$E123)&lt;$D$26,"GREATER than Standard 5, outside of quantifiable range","")))</f>
        <v/>
      </c>
      <c r="L122" s="167"/>
      <c r="M122" s="168"/>
    </row>
    <row r="123" spans="1:13" s="36" customFormat="1" ht="16.2" thickBot="1" x14ac:dyDescent="0.35">
      <c r="A123" s="175"/>
      <c r="B123" s="117"/>
      <c r="C123" s="118"/>
      <c r="D123" s="119"/>
      <c r="E123" s="119"/>
      <c r="F123" s="120" t="str">
        <f>IF(OR(ISBLANK(E122),ISBLANK(E123)),"",STDEV(E122,E123))</f>
        <v/>
      </c>
      <c r="G123" s="120" t="str">
        <f>IF(ISTEXT(F123),"",F123/((E122+E123)/2)*100)</f>
        <v/>
      </c>
      <c r="H123" s="121" t="str">
        <f t="shared" si="5"/>
        <v/>
      </c>
      <c r="I123" s="121" t="str">
        <f>IF(AND(ISBLANK(E122),ISBLANK(E123)),"",IF(OR(ISBLANK(E123),ISBLANK(E122)),AVERAGE(H122:H123),IF(OR(ISTEXT(H122),ISTEXT(H123)),"Invalid",AVERAGE(H122:H123))))</f>
        <v/>
      </c>
      <c r="J123" s="121">
        <v>1</v>
      </c>
      <c r="K123" s="169"/>
      <c r="L123" s="170"/>
      <c r="M123" s="171"/>
    </row>
    <row r="124" spans="1:13" s="36" customFormat="1" ht="16.2" thickTop="1" x14ac:dyDescent="0.3">
      <c r="A124" s="172">
        <v>44</v>
      </c>
      <c r="B124" s="81"/>
      <c r="C124" s="64"/>
      <c r="D124" s="22"/>
      <c r="E124" s="22"/>
      <c r="F124" s="72"/>
      <c r="G124" s="66"/>
      <c r="H124" s="67" t="str">
        <f t="shared" si="5"/>
        <v/>
      </c>
      <c r="I124" s="37"/>
      <c r="J124" s="38">
        <v>1</v>
      </c>
      <c r="K124" s="160" t="str">
        <f>IF(AND(ISBLANK(E124),ISBLANK(E125)),"",IF(AVERAGE($E124:$E125)&gt;$D$22,"LESS than Standard 1, outside of quantifiable range",IF(AVERAGE($E124:$E125)&lt;$D$26,"GREATER than Standard 5, outside of quantifiable range","")))</f>
        <v/>
      </c>
      <c r="L124" s="161"/>
      <c r="M124" s="162"/>
    </row>
    <row r="125" spans="1:13" s="36" customFormat="1" ht="16.2" thickBot="1" x14ac:dyDescent="0.35">
      <c r="A125" s="173"/>
      <c r="B125" s="80"/>
      <c r="C125" s="65"/>
      <c r="D125" s="24"/>
      <c r="E125" s="24"/>
      <c r="F125" s="68" t="str">
        <f>IF(OR(ISBLANK(E124),ISBLANK(E125)),"",STDEV(E124,E125))</f>
        <v/>
      </c>
      <c r="G125" s="68" t="str">
        <f>IF(ISTEXT(F125),"",F125/((E124+E125)/2)*100)</f>
        <v/>
      </c>
      <c r="H125" s="35" t="str">
        <f t="shared" si="5"/>
        <v/>
      </c>
      <c r="I125" s="35" t="str">
        <f>IF(AND(ISBLANK(E124),ISBLANK(E125)),"",IF(OR(ISBLANK(E125),ISBLANK(E124)),AVERAGE(H124:H125),IF(OR(ISTEXT(H124),ISTEXT(H125)),"Invalid",AVERAGE(H124:H125))))</f>
        <v/>
      </c>
      <c r="J125" s="35">
        <v>1</v>
      </c>
      <c r="K125" s="155"/>
      <c r="L125" s="156"/>
      <c r="M125" s="157"/>
    </row>
    <row r="126" spans="1:13" s="36" customFormat="1" ht="16.2" thickTop="1" x14ac:dyDescent="0.3">
      <c r="A126" s="172">
        <v>45</v>
      </c>
      <c r="B126" s="81"/>
      <c r="C126" s="64"/>
      <c r="D126" s="22"/>
      <c r="E126" s="22"/>
      <c r="F126" s="71"/>
      <c r="G126" s="71"/>
      <c r="H126" s="67" t="str">
        <f t="shared" si="5"/>
        <v/>
      </c>
      <c r="I126" s="38"/>
      <c r="J126" s="38">
        <v>1</v>
      </c>
      <c r="K126" s="160" t="str">
        <f>IF(AND(ISBLANK(E126),ISBLANK(E127)),"",IF(AVERAGE($E126:$E127)&gt;$D$22,"LESS than Standard 1, outside of quantifiable range",IF(AVERAGE($E126:$E127)&lt;$D$26,"GREATER than Standard 5, outside of quantifiable range","")))</f>
        <v/>
      </c>
      <c r="L126" s="161"/>
      <c r="M126" s="162"/>
    </row>
    <row r="127" spans="1:13" s="36" customFormat="1" ht="16.2" thickBot="1" x14ac:dyDescent="0.35">
      <c r="A127" s="173"/>
      <c r="B127" s="80"/>
      <c r="C127" s="65"/>
      <c r="D127" s="24"/>
      <c r="E127" s="24"/>
      <c r="F127" s="68" t="str">
        <f>IF(OR(ISBLANK(E126),ISBLANK(E127)),"",STDEV(E126,E127))</f>
        <v/>
      </c>
      <c r="G127" s="68" t="str">
        <f>IF(ISTEXT(F127),"",F127/((E126+E127)/2)*100)</f>
        <v/>
      </c>
      <c r="H127" s="35" t="str">
        <f t="shared" si="5"/>
        <v/>
      </c>
      <c r="I127" s="35" t="str">
        <f>IF(AND(ISBLANK(E126),ISBLANK(E127)),"",IF(OR(ISBLANK(E127),ISBLANK(E126)),AVERAGE(H126:H127),IF(OR(ISTEXT(H126),ISTEXT(H127)),"Invalid",AVERAGE(H126:H127))))</f>
        <v/>
      </c>
      <c r="J127" s="35">
        <v>1</v>
      </c>
      <c r="K127" s="155"/>
      <c r="L127" s="156"/>
      <c r="M127" s="157"/>
    </row>
    <row r="128" spans="1:13" s="36" customFormat="1" ht="16.2" thickTop="1" x14ac:dyDescent="0.3">
      <c r="A128" s="172">
        <v>46</v>
      </c>
      <c r="B128" s="81"/>
      <c r="C128" s="64"/>
      <c r="D128" s="22"/>
      <c r="E128" s="22"/>
      <c r="F128" s="66"/>
      <c r="G128" s="66"/>
      <c r="H128" s="67" t="str">
        <f t="shared" si="5"/>
        <v/>
      </c>
      <c r="I128" s="37"/>
      <c r="J128" s="38">
        <v>1</v>
      </c>
      <c r="K128" s="160" t="str">
        <f>IF(AND(ISBLANK(E128),ISBLANK(E129)),"",IF(AVERAGE($E128:$E129)&gt;$D$22,"LESS than Standard 1, outside of quantifiable range",IF(AVERAGE($E128:$E129)&lt;$D$26,"GREATER than Standard 5, outside of quantifiable range","")))</f>
        <v/>
      </c>
      <c r="L128" s="161"/>
      <c r="M128" s="162"/>
    </row>
    <row r="129" spans="1:13" s="36" customFormat="1" ht="16.2" thickBot="1" x14ac:dyDescent="0.35">
      <c r="A129" s="173"/>
      <c r="B129" s="80"/>
      <c r="C129" s="65"/>
      <c r="D129" s="24"/>
      <c r="E129" s="24"/>
      <c r="F129" s="68" t="str">
        <f>IF(OR(ISBLANK(E128),ISBLANK(E129)),"",STDEV(E128,E129))</f>
        <v/>
      </c>
      <c r="G129" s="68" t="str">
        <f>IF(ISTEXT(F129),"",F129/((E128+E129)/2)*100)</f>
        <v/>
      </c>
      <c r="H129" s="35" t="str">
        <f t="shared" si="5"/>
        <v/>
      </c>
      <c r="I129" s="35" t="str">
        <f>IF(AND(ISBLANK(E128),ISBLANK(E129)),"",IF(OR(ISBLANK(E129),ISBLANK(E128)),AVERAGE(H128:H129),IF(OR(ISTEXT(H128),ISTEXT(H129)),"Invalid",AVERAGE(H128:H129))))</f>
        <v/>
      </c>
      <c r="J129" s="35">
        <v>1</v>
      </c>
      <c r="K129" s="155"/>
      <c r="L129" s="156"/>
      <c r="M129" s="157"/>
    </row>
    <row r="130" spans="1:13" s="36" customFormat="1" ht="16.2" thickTop="1" x14ac:dyDescent="0.3">
      <c r="A130" s="172">
        <v>47</v>
      </c>
      <c r="B130" s="81"/>
      <c r="C130" s="64"/>
      <c r="D130" s="22"/>
      <c r="E130" s="22"/>
      <c r="F130" s="71"/>
      <c r="G130" s="71"/>
      <c r="H130" s="73" t="str">
        <f t="shared" si="5"/>
        <v/>
      </c>
      <c r="I130" s="38"/>
      <c r="J130" s="38">
        <v>1</v>
      </c>
      <c r="K130" s="160" t="str">
        <f>IF(AND(ISBLANK(E130),ISBLANK(E131)),"",IF(AVERAGE($E130:$E131)&gt;$D$22,"LESS than Standard 1, outside of quantifiable range",IF(AVERAGE($E130:$E131)&lt;$D$26,"GREATER than Standard 5, outside of quantifiable range","")))</f>
        <v/>
      </c>
      <c r="L130" s="161"/>
      <c r="M130" s="162"/>
    </row>
    <row r="131" spans="1:13" s="36" customFormat="1" ht="16.2" thickBot="1" x14ac:dyDescent="0.35">
      <c r="A131" s="173"/>
      <c r="B131" s="80"/>
      <c r="C131" s="65"/>
      <c r="D131" s="24"/>
      <c r="E131" s="24"/>
      <c r="F131" s="68" t="str">
        <f>IF(OR(ISBLANK(E130),ISBLANK(E131)),"",STDEV(E130,E131))</f>
        <v/>
      </c>
      <c r="G131" s="68" t="str">
        <f>IF(ISTEXT(F131),"",F131/((E130+E131)/2)*100)</f>
        <v/>
      </c>
      <c r="H131" s="35" t="str">
        <f t="shared" si="5"/>
        <v/>
      </c>
      <c r="I131" s="35" t="str">
        <f>IF(AND(ISBLANK(E130),ISBLANK(E131)),"",IF(OR(ISBLANK(E131),ISBLANK(E130)),AVERAGE(H130:H131),IF(OR(ISTEXT(H130),ISTEXT(H131)),"Invalid",AVERAGE(H130:H131))))</f>
        <v/>
      </c>
      <c r="J131" s="35">
        <v>1</v>
      </c>
      <c r="K131" s="155"/>
      <c r="L131" s="156"/>
      <c r="M131" s="157"/>
    </row>
    <row r="132" spans="1:13" s="36" customFormat="1" ht="16.2" thickTop="1" x14ac:dyDescent="0.3">
      <c r="A132" s="172">
        <v>48</v>
      </c>
      <c r="B132" s="81"/>
      <c r="C132" s="64"/>
      <c r="D132" s="22"/>
      <c r="E132" s="22"/>
      <c r="F132" s="66"/>
      <c r="G132" s="66"/>
      <c r="H132" s="67" t="str">
        <f t="shared" si="5"/>
        <v/>
      </c>
      <c r="I132" s="37"/>
      <c r="J132" s="38">
        <v>1</v>
      </c>
      <c r="K132" s="160" t="str">
        <f>IF(AND(ISBLANK(E132),ISBLANK(E133)),"",IF(AVERAGE($E132:$E133)&gt;$D$22,"LESS than Standard 1, outside of quantifiable range",IF(AVERAGE($E132:$E133)&lt;$D$26,"GREATER than Standard 5, outside of quantifiable range","")))</f>
        <v/>
      </c>
      <c r="L132" s="161"/>
      <c r="M132" s="162"/>
    </row>
    <row r="133" spans="1:13" s="36" customFormat="1" ht="16.2" thickBot="1" x14ac:dyDescent="0.35">
      <c r="A133" s="173"/>
      <c r="B133" s="80"/>
      <c r="C133" s="65"/>
      <c r="D133" s="24"/>
      <c r="E133" s="24"/>
      <c r="F133" s="68" t="str">
        <f>IF(OR(ISBLANK(E132),ISBLANK(E133)),"",STDEV(E132,E133))</f>
        <v/>
      </c>
      <c r="G133" s="68" t="str">
        <f>IF(ISTEXT(F133),"",F133/((E132+E133)/2)*100)</f>
        <v/>
      </c>
      <c r="H133" s="35" t="str">
        <f t="shared" si="5"/>
        <v/>
      </c>
      <c r="I133" s="35" t="str">
        <f>IF(AND(ISBLANK(E132),ISBLANK(E133)),"",IF(OR(ISBLANK(E133),ISBLANK(E132)),AVERAGE(H132:H133),IF(OR(ISTEXT(H132),ISTEXT(H133)),"Invalid",AVERAGE(H132:H133))))</f>
        <v/>
      </c>
      <c r="J133" s="35">
        <v>1</v>
      </c>
      <c r="K133" s="155"/>
      <c r="L133" s="156"/>
      <c r="M133" s="157"/>
    </row>
    <row r="134" spans="1:13" s="36" customFormat="1" ht="16.2" thickTop="1" x14ac:dyDescent="0.3">
      <c r="A134" s="172">
        <v>49</v>
      </c>
      <c r="B134" s="81"/>
      <c r="C134" s="64"/>
      <c r="D134" s="22"/>
      <c r="E134" s="22"/>
      <c r="F134" s="71"/>
      <c r="G134" s="71"/>
      <c r="H134" s="67" t="str">
        <f t="shared" ref="H134:H144" si="6">IF(ISBLANK(E134),"",IF(E134&lt;=$C$33,"Invalid",IF(E134&gt;=$C$30,"Invalid",$C$32*(($C$30-E134)/(E134-$C$33))^(1/$C$31))))</f>
        <v/>
      </c>
      <c r="I134" s="38"/>
      <c r="J134" s="38">
        <v>1</v>
      </c>
      <c r="K134" s="160" t="str">
        <f>IF(AND(ISBLANK(E134),ISBLANK(E135)),"",IF(AVERAGE($E134:$E135)&gt;$D$22,"LESS than Standard 1, outside of quantifiable range",IF(AVERAGE($E134:$E135)&lt;$D$26,"GREATER than Standard 5, outside of quantifiable range","")))</f>
        <v/>
      </c>
      <c r="L134" s="161"/>
      <c r="M134" s="162"/>
    </row>
    <row r="135" spans="1:13" s="36" customFormat="1" ht="16.2" thickBot="1" x14ac:dyDescent="0.35">
      <c r="A135" s="173"/>
      <c r="B135" s="80"/>
      <c r="C135" s="65"/>
      <c r="D135" s="24"/>
      <c r="E135" s="24"/>
      <c r="F135" s="68" t="str">
        <f>IF(OR(ISBLANK(E134),ISBLANK(E135)),"",STDEV(E134,E135))</f>
        <v/>
      </c>
      <c r="G135" s="68" t="str">
        <f>IF(ISTEXT(F135),"",F135/((E134+E135)/2)*100)</f>
        <v/>
      </c>
      <c r="H135" s="35" t="str">
        <f t="shared" si="6"/>
        <v/>
      </c>
      <c r="I135" s="35" t="str">
        <f>IF(AND(ISBLANK(E134),ISBLANK(E135)),"",IF(OR(ISBLANK(E135),ISBLANK(E134)),AVERAGE(H134:H135),IF(OR(ISTEXT(H134),ISTEXT(H135)),"Invalid",AVERAGE(H134:H135))))</f>
        <v/>
      </c>
      <c r="J135" s="35">
        <v>1</v>
      </c>
      <c r="K135" s="155"/>
      <c r="L135" s="156"/>
      <c r="M135" s="157"/>
    </row>
    <row r="136" spans="1:13" s="36" customFormat="1" ht="16.2" thickTop="1" x14ac:dyDescent="0.3">
      <c r="A136" s="172">
        <v>50</v>
      </c>
      <c r="B136" s="81"/>
      <c r="C136" s="64"/>
      <c r="D136" s="22"/>
      <c r="E136" s="22"/>
      <c r="F136" s="66"/>
      <c r="G136" s="66"/>
      <c r="H136" s="67" t="str">
        <f t="shared" si="6"/>
        <v/>
      </c>
      <c r="I136" s="37"/>
      <c r="J136" s="38">
        <v>1</v>
      </c>
      <c r="K136" s="160" t="str">
        <f>IF(AND(ISBLANK(E136),ISBLANK(E137)),"",IF(AVERAGE($E136:$E137)&gt;$D$22,"LESS than Standard 1, outside of quantifiable range",IF(AVERAGE($E136:$E137)&lt;$D$26,"GREATER than Standard 5, outside of quantifiable range","")))</f>
        <v/>
      </c>
      <c r="L136" s="161"/>
      <c r="M136" s="162"/>
    </row>
    <row r="137" spans="1:13" s="36" customFormat="1" ht="16.2" thickBot="1" x14ac:dyDescent="0.35">
      <c r="A137" s="173"/>
      <c r="B137" s="80"/>
      <c r="C137" s="65"/>
      <c r="D137" s="24"/>
      <c r="E137" s="24"/>
      <c r="F137" s="68" t="str">
        <f>IF(OR(ISBLANK(E136),ISBLANK(E137)),"",STDEV(E136,E137))</f>
        <v/>
      </c>
      <c r="G137" s="68" t="str">
        <f>IF(ISTEXT(F137),"",F137/((E136+E137)/2)*100)</f>
        <v/>
      </c>
      <c r="H137" s="35" t="str">
        <f t="shared" si="6"/>
        <v/>
      </c>
      <c r="I137" s="35" t="str">
        <f>IF(AND(ISBLANK(E136),ISBLANK(E137)),"",IF(OR(ISBLANK(E137),ISBLANK(E136)),AVERAGE(H136:H137),IF(OR(ISTEXT(H136),ISTEXT(H137)),"Invalid",AVERAGE(H136:H137))))</f>
        <v/>
      </c>
      <c r="J137" s="35">
        <v>1</v>
      </c>
      <c r="K137" s="155"/>
      <c r="L137" s="156"/>
      <c r="M137" s="157"/>
    </row>
    <row r="138" spans="1:13" s="36" customFormat="1" ht="16.2" thickTop="1" x14ac:dyDescent="0.3">
      <c r="A138" s="172">
        <v>51</v>
      </c>
      <c r="B138" s="81"/>
      <c r="C138" s="64"/>
      <c r="D138" s="22"/>
      <c r="E138" s="22"/>
      <c r="F138" s="71"/>
      <c r="G138" s="71"/>
      <c r="H138" s="67" t="str">
        <f t="shared" si="6"/>
        <v/>
      </c>
      <c r="I138" s="38"/>
      <c r="J138" s="38">
        <v>1</v>
      </c>
      <c r="K138" s="160" t="str">
        <f>IF(AND(ISBLANK(E138),ISBLANK(E139)),"",IF(AVERAGE($E138:$E139)&gt;$D$22,"LESS than Standard 1, outside of quantifiable range",IF(AVERAGE($E138:$E139)&lt;$D$26,"GREATER than Standard 5, outside of quantifiable range","")))</f>
        <v/>
      </c>
      <c r="L138" s="161"/>
      <c r="M138" s="162"/>
    </row>
    <row r="139" spans="1:13" s="36" customFormat="1" ht="16.2" thickBot="1" x14ac:dyDescent="0.35">
      <c r="A139" s="173"/>
      <c r="B139" s="80"/>
      <c r="C139" s="65"/>
      <c r="D139" s="24"/>
      <c r="E139" s="24"/>
      <c r="F139" s="68" t="str">
        <f>IF(OR(ISBLANK(E138),ISBLANK(E139)),"",STDEV(E138,E139))</f>
        <v/>
      </c>
      <c r="G139" s="68" t="str">
        <f>IF(ISTEXT(F139),"",F139/((E138+E139)/2)*100)</f>
        <v/>
      </c>
      <c r="H139" s="35" t="str">
        <f t="shared" si="6"/>
        <v/>
      </c>
      <c r="I139" s="35" t="str">
        <f>IF(AND(ISBLANK(E138),ISBLANK(E139)),"",IF(OR(ISBLANK(E139),ISBLANK(E138)),AVERAGE(H138:H139),IF(OR(ISTEXT(H138),ISTEXT(H139)),"Invalid",AVERAGE(H138:H139))))</f>
        <v/>
      </c>
      <c r="J139" s="35">
        <v>1</v>
      </c>
      <c r="K139" s="155"/>
      <c r="L139" s="156"/>
      <c r="M139" s="157"/>
    </row>
    <row r="140" spans="1:13" s="36" customFormat="1" ht="16.2" thickTop="1" x14ac:dyDescent="0.3">
      <c r="A140" s="172">
        <v>52</v>
      </c>
      <c r="B140" s="81"/>
      <c r="C140" s="64"/>
      <c r="D140" s="22"/>
      <c r="E140" s="22"/>
      <c r="F140" s="66"/>
      <c r="G140" s="66"/>
      <c r="H140" s="67" t="str">
        <f t="shared" si="6"/>
        <v/>
      </c>
      <c r="I140" s="37"/>
      <c r="J140" s="38">
        <v>1</v>
      </c>
      <c r="K140" s="160" t="str">
        <f>IF(AND(ISBLANK(E140),ISBLANK(E141)),"",IF(AVERAGE($E140:$E141)&gt;$D$22,"LESS than Standard 1, outside of quantifiable range",IF(AVERAGE($E140:$E141)&lt;$D$26,"GREATER than Standard 5, outside of quantifiable range","")))</f>
        <v/>
      </c>
      <c r="L140" s="161"/>
      <c r="M140" s="162"/>
    </row>
    <row r="141" spans="1:13" s="36" customFormat="1" ht="16.2" thickBot="1" x14ac:dyDescent="0.35">
      <c r="A141" s="173"/>
      <c r="B141" s="80"/>
      <c r="C141" s="65"/>
      <c r="D141" s="24"/>
      <c r="E141" s="24"/>
      <c r="F141" s="68" t="str">
        <f>IF(OR(ISBLANK(E140),ISBLANK(E141)),"",STDEV(E140,E141))</f>
        <v/>
      </c>
      <c r="G141" s="68" t="str">
        <f>IF(ISTEXT(F141),"",F141/((E140+E141)/2)*100)</f>
        <v/>
      </c>
      <c r="H141" s="35" t="str">
        <f t="shared" si="6"/>
        <v/>
      </c>
      <c r="I141" s="35" t="str">
        <f>IF(AND(ISBLANK(E140),ISBLANK(E141)),"",IF(OR(ISBLANK(E141),ISBLANK(E140)),AVERAGE(H140:H141),IF(OR(ISTEXT(H140),ISTEXT(H141)),"Invalid",AVERAGE(H140:H141))))</f>
        <v/>
      </c>
      <c r="J141" s="35">
        <v>1</v>
      </c>
      <c r="K141" s="155"/>
      <c r="L141" s="156"/>
      <c r="M141" s="157"/>
    </row>
    <row r="142" spans="1:13" s="36" customFormat="1" ht="16.2" thickTop="1" x14ac:dyDescent="0.3">
      <c r="A142" s="172">
        <v>53</v>
      </c>
      <c r="B142" s="81"/>
      <c r="C142" s="64"/>
      <c r="D142" s="22"/>
      <c r="E142" s="22"/>
      <c r="F142" s="71"/>
      <c r="G142" s="71"/>
      <c r="H142" s="67" t="str">
        <f t="shared" si="6"/>
        <v/>
      </c>
      <c r="I142" s="38"/>
      <c r="J142" s="38">
        <v>1</v>
      </c>
      <c r="K142" s="160" t="str">
        <f>IF(AND(ISBLANK(E142),ISBLANK(E143)),"",IF(AVERAGE($E142:$E143)&gt;$D$22,"LESS than Standard 1, outside of quantifiable range",IF(AVERAGE($E142:$E143)&lt;$D$26,"GREATER than Standard 5, outside of quantifiable range","")))</f>
        <v/>
      </c>
      <c r="L142" s="161"/>
      <c r="M142" s="162"/>
    </row>
    <row r="143" spans="1:13" s="36" customFormat="1" ht="16.2" thickBot="1" x14ac:dyDescent="0.35">
      <c r="A143" s="173"/>
      <c r="B143" s="80"/>
      <c r="C143" s="65"/>
      <c r="D143" s="24"/>
      <c r="E143" s="24"/>
      <c r="F143" s="68" t="str">
        <f>IF(OR(ISBLANK(E142),ISBLANK(E143)),"",STDEV(E142,E143))</f>
        <v/>
      </c>
      <c r="G143" s="68" t="str">
        <f>IF(ISTEXT(F143),"",F143/((E142+E143)/2)*100)</f>
        <v/>
      </c>
      <c r="H143" s="35" t="str">
        <f t="shared" si="6"/>
        <v/>
      </c>
      <c r="I143" s="35" t="str">
        <f>IF(AND(ISBLANK(E142),ISBLANK(E143)),"",IF(OR(ISBLANK(E143),ISBLANK(E142)),AVERAGE(H142:H143),IF(OR(ISTEXT(H142),ISTEXT(H143)),"Invalid",AVERAGE(H142:H143))))</f>
        <v/>
      </c>
      <c r="J143" s="35">
        <v>1</v>
      </c>
      <c r="K143" s="155"/>
      <c r="L143" s="156"/>
      <c r="M143" s="157"/>
    </row>
    <row r="144" spans="1:13" s="36" customFormat="1" ht="16.2" thickTop="1" x14ac:dyDescent="0.3">
      <c r="A144" s="172">
        <v>54</v>
      </c>
      <c r="B144" s="81"/>
      <c r="C144" s="64"/>
      <c r="D144" s="22"/>
      <c r="E144" s="22"/>
      <c r="F144" s="66"/>
      <c r="G144" s="66"/>
      <c r="H144" s="67" t="str">
        <f t="shared" si="6"/>
        <v/>
      </c>
      <c r="I144" s="37"/>
      <c r="J144" s="38">
        <v>1</v>
      </c>
      <c r="K144" s="160" t="str">
        <f>IF(AND(ISBLANK(E144),ISBLANK(E145)),"",IF(AVERAGE($E144:$E145)&gt;$D$22,"LESS than Standard 1, outside of quantifiable range",IF(AVERAGE($E144:$E145)&lt;$D$26,"GREATER than Standard 5, outside of quantifiable range","")))</f>
        <v/>
      </c>
      <c r="L144" s="161"/>
      <c r="M144" s="162"/>
    </row>
    <row r="145" spans="1:13" s="36" customFormat="1" ht="16.2" thickBot="1" x14ac:dyDescent="0.35">
      <c r="A145" s="173"/>
      <c r="B145" s="80"/>
      <c r="C145" s="65"/>
      <c r="D145" s="24"/>
      <c r="E145" s="24"/>
      <c r="F145" s="82" t="str">
        <f>IF(OR(ISBLANK(E144),ISBLANK(E145)),"",STDEV(E144,E145))</f>
        <v/>
      </c>
      <c r="G145" s="82" t="str">
        <f>IF(ISTEXT(F145),"",F145/((E144+E145)/2)*100)</f>
        <v/>
      </c>
      <c r="H145" s="70" t="str">
        <f>IF(ISBLANK(E145),"",IF(E145&lt;=$C$33,"invalid",IF(E145&gt;=$C$30,"invalid",$C$32*(($C$30-E145)/(E145-$C$33))^(1/$C$31))))</f>
        <v/>
      </c>
      <c r="I145" s="70" t="str">
        <f>IF(AND(ISBLANK(E144),ISBLANK(E145)),"",IF(OR(ISBLANK(E145),ISBLANK(E144)),AVERAGE(H144:H145),IF(OR(ISTEXT(H144),ISTEXT(H145)),"Invalid",AVERAGE(H144:H145))))</f>
        <v/>
      </c>
      <c r="J145" s="70">
        <v>1</v>
      </c>
      <c r="K145" s="163"/>
      <c r="L145" s="164"/>
      <c r="M145" s="165"/>
    </row>
  </sheetData>
  <sheetProtection selectLockedCells="1" selectUnlockedCells="1"/>
  <mergeCells count="125">
    <mergeCell ref="A138:A139"/>
    <mergeCell ref="A140:A141"/>
    <mergeCell ref="A142:A143"/>
    <mergeCell ref="A144:A145"/>
    <mergeCell ref="A36:M36"/>
    <mergeCell ref="A128:A129"/>
    <mergeCell ref="A130:A131"/>
    <mergeCell ref="A132:A133"/>
    <mergeCell ref="A134:A135"/>
    <mergeCell ref="A136:A137"/>
    <mergeCell ref="A118:A119"/>
    <mergeCell ref="A120:A121"/>
    <mergeCell ref="A122:A123"/>
    <mergeCell ref="A124:A125"/>
    <mergeCell ref="A126:A127"/>
    <mergeCell ref="A108:A109"/>
    <mergeCell ref="A110:A111"/>
    <mergeCell ref="A112:A113"/>
    <mergeCell ref="A114:A115"/>
    <mergeCell ref="A116:A117"/>
    <mergeCell ref="A98:A99"/>
    <mergeCell ref="A100:A101"/>
    <mergeCell ref="A102:A103"/>
    <mergeCell ref="A104:A105"/>
    <mergeCell ref="A106:A107"/>
    <mergeCell ref="A88:A89"/>
    <mergeCell ref="A90:A91"/>
    <mergeCell ref="A92:A93"/>
    <mergeCell ref="A94:A95"/>
    <mergeCell ref="A96:A97"/>
    <mergeCell ref="A78:A79"/>
    <mergeCell ref="A80:A81"/>
    <mergeCell ref="A82:A83"/>
    <mergeCell ref="A84:A85"/>
    <mergeCell ref="A86:A87"/>
    <mergeCell ref="A68:A69"/>
    <mergeCell ref="A70:A71"/>
    <mergeCell ref="A72:A73"/>
    <mergeCell ref="A74:A75"/>
    <mergeCell ref="A76:A77"/>
    <mergeCell ref="A58:A59"/>
    <mergeCell ref="A60:A61"/>
    <mergeCell ref="A62:A63"/>
    <mergeCell ref="A64:A65"/>
    <mergeCell ref="A66:A67"/>
    <mergeCell ref="A48:A49"/>
    <mergeCell ref="A50:A51"/>
    <mergeCell ref="A52:A53"/>
    <mergeCell ref="A54:A55"/>
    <mergeCell ref="A56:A57"/>
    <mergeCell ref="A38:A39"/>
    <mergeCell ref="A40:A41"/>
    <mergeCell ref="A42:A43"/>
    <mergeCell ref="A44:A45"/>
    <mergeCell ref="A46:A47"/>
    <mergeCell ref="K136:M137"/>
    <mergeCell ref="K138:M139"/>
    <mergeCell ref="K140:M141"/>
    <mergeCell ref="K142:M143"/>
    <mergeCell ref="K144:M145"/>
    <mergeCell ref="K134:M135"/>
    <mergeCell ref="K112:M113"/>
    <mergeCell ref="K114:M115"/>
    <mergeCell ref="K116:M117"/>
    <mergeCell ref="K118:M119"/>
    <mergeCell ref="K120:M121"/>
    <mergeCell ref="K122:M123"/>
    <mergeCell ref="K124:M125"/>
    <mergeCell ref="K126:M127"/>
    <mergeCell ref="K128:M129"/>
    <mergeCell ref="K130:M131"/>
    <mergeCell ref="K132:M133"/>
    <mergeCell ref="K110:M111"/>
    <mergeCell ref="K88:M89"/>
    <mergeCell ref="K90:M91"/>
    <mergeCell ref="K92:M93"/>
    <mergeCell ref="K94:M95"/>
    <mergeCell ref="K96:M97"/>
    <mergeCell ref="K98:M99"/>
    <mergeCell ref="K100:M101"/>
    <mergeCell ref="K102:M103"/>
    <mergeCell ref="K104:M105"/>
    <mergeCell ref="K106:M107"/>
    <mergeCell ref="K108:M109"/>
    <mergeCell ref="K86:M87"/>
    <mergeCell ref="K64:M65"/>
    <mergeCell ref="K66:M67"/>
    <mergeCell ref="K68:M69"/>
    <mergeCell ref="K70:M71"/>
    <mergeCell ref="K72:M73"/>
    <mergeCell ref="K74:M75"/>
    <mergeCell ref="K76:M77"/>
    <mergeCell ref="K78:M79"/>
    <mergeCell ref="K80:M81"/>
    <mergeCell ref="K82:M83"/>
    <mergeCell ref="K84:M85"/>
    <mergeCell ref="K62:M63"/>
    <mergeCell ref="K40:M41"/>
    <mergeCell ref="K42:M43"/>
    <mergeCell ref="K44:M45"/>
    <mergeCell ref="K46:M47"/>
    <mergeCell ref="K48:M49"/>
    <mergeCell ref="K50:M51"/>
    <mergeCell ref="K52:M53"/>
    <mergeCell ref="K54:M55"/>
    <mergeCell ref="K56:M57"/>
    <mergeCell ref="K58:M59"/>
    <mergeCell ref="K60:M61"/>
    <mergeCell ref="B19:H19"/>
    <mergeCell ref="K37:M37"/>
    <mergeCell ref="P7:Y7"/>
    <mergeCell ref="B2:F2"/>
    <mergeCell ref="P2:Y2"/>
    <mergeCell ref="B4:G4"/>
    <mergeCell ref="P4:Y4"/>
    <mergeCell ref="P6:Y6"/>
    <mergeCell ref="K38:M39"/>
    <mergeCell ref="P8:Y8"/>
    <mergeCell ref="P9:Y9"/>
    <mergeCell ref="P10:Y10"/>
    <mergeCell ref="P12:Y12"/>
    <mergeCell ref="P13:Y13"/>
    <mergeCell ref="P14:Y14"/>
    <mergeCell ref="P15:Y15"/>
    <mergeCell ref="P17:Y17"/>
  </mergeCells>
  <pageMargins left="0.78740157499999996" right="0.78740157499999996" top="1" bottom="1" header="0.5" footer="0.5"/>
  <pageSetup paperSize="9" scale="41" fitToHeight="0" orientation="landscape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695DA-5981-4ACD-9D78-A4A6DDF76F17}">
  <sheetPr>
    <pageSetUpPr fitToPage="1"/>
  </sheetPr>
  <dimension ref="A1:L109"/>
  <sheetViews>
    <sheetView showGridLines="0" tabSelected="1" workbookViewId="0">
      <pane ySplit="1" topLeftCell="A26" activePane="bottomLeft" state="frozen"/>
      <selection pane="bottomLeft" activeCell="J114" sqref="J114"/>
    </sheetView>
  </sheetViews>
  <sheetFormatPr defaultRowHeight="15.6" x14ac:dyDescent="0.3"/>
  <cols>
    <col min="2" max="2" width="18.3984375" style="51" bestFit="1" customWidth="1"/>
    <col min="3" max="3" width="18.3984375" style="63" customWidth="1"/>
    <col min="4" max="5" width="18.3984375" style="51" customWidth="1"/>
    <col min="6" max="6" width="13.5" style="53" customWidth="1"/>
    <col min="7" max="7" width="8" style="51" customWidth="1"/>
    <col min="8" max="8" width="13.3984375" style="53" customWidth="1"/>
    <col min="9" max="9" width="10.69921875" style="52" bestFit="1" customWidth="1"/>
    <col min="10" max="10" width="48.8984375" bestFit="1" customWidth="1"/>
  </cols>
  <sheetData>
    <row r="1" spans="1:12" ht="31.8" thickBot="1" x14ac:dyDescent="0.35">
      <c r="A1" s="96" t="s">
        <v>73</v>
      </c>
      <c r="B1" s="103" t="s">
        <v>55</v>
      </c>
      <c r="C1" s="103" t="s">
        <v>50</v>
      </c>
      <c r="D1" s="103" t="s">
        <v>56</v>
      </c>
      <c r="E1" s="103" t="s">
        <v>57</v>
      </c>
      <c r="F1" s="103" t="s">
        <v>58</v>
      </c>
      <c r="G1" s="103" t="s">
        <v>59</v>
      </c>
      <c r="H1" s="103" t="s">
        <v>60</v>
      </c>
      <c r="I1" s="103" t="s">
        <v>78</v>
      </c>
      <c r="J1" s="97" t="str">
        <f>'6 Standards'!K37</f>
        <v>Comments</v>
      </c>
      <c r="K1" s="51"/>
      <c r="L1" s="51"/>
    </row>
    <row r="2" spans="1:12" ht="16.2" thickTop="1" x14ac:dyDescent="0.3">
      <c r="A2" s="176">
        <v>1</v>
      </c>
      <c r="B2" s="61" t="str">
        <f>IF(ISBLANK('6 Standards'!B38),"No Sample Entered",'6 Standards'!B38)</f>
        <v>Control</v>
      </c>
      <c r="C2" s="62" t="str">
        <f>IF(ISBLANK('6 Standards'!C38),"No Date",TEXT('6 Standards'!C38,"mm/dd/yyyy"))</f>
        <v>No Date</v>
      </c>
      <c r="D2" s="62" t="str">
        <f>IF(ISBLANK('6 Standards'!D38),"No type entered",'6 Standards'!D38)</f>
        <v>Blank</v>
      </c>
      <c r="E2" s="61">
        <v>1</v>
      </c>
      <c r="F2" s="101" t="str">
        <f>'6 Standards'!H38</f>
        <v>Invalid</v>
      </c>
      <c r="G2" s="61">
        <v>1</v>
      </c>
      <c r="H2" s="101" t="str">
        <f>IFERROR(F2*G2,"Error")</f>
        <v>Error</v>
      </c>
      <c r="I2" s="102"/>
      <c r="J2" s="55" t="str">
        <f>IF('6 Standards'!K38=0,"",'6 Standards'!K38)</f>
        <v>GREATER than Standard 5, outside of quantifiable range</v>
      </c>
    </row>
    <row r="3" spans="1:12" x14ac:dyDescent="0.3">
      <c r="A3" s="176"/>
      <c r="B3" s="57" t="str">
        <f>IF(ISBLANK('6 Standards'!B39),"No Sample Entered",'6 Standards'!B39)</f>
        <v>Control</v>
      </c>
      <c r="C3" s="58" t="str">
        <f>IF(ISBLANK('6 Standards'!C39),"No Date",TEXT('6 Standards'!C39,"mm/dd/yyyy"))</f>
        <v>No Date</v>
      </c>
      <c r="D3" s="58" t="str">
        <f>IF(ISBLANK('6 Standards'!D39),"No type entered",'6 Standards'!D39)</f>
        <v>Blank</v>
      </c>
      <c r="E3" s="57">
        <v>2</v>
      </c>
      <c r="F3" s="93" t="str">
        <f>'6 Standards'!H39</f>
        <v>Invalid</v>
      </c>
      <c r="G3" s="57">
        <v>1</v>
      </c>
      <c r="H3" s="93" t="str">
        <f>IFERROR(F3*G3,"Error")</f>
        <v>Error</v>
      </c>
      <c r="I3" s="59" t="str">
        <f>IFERROR(AVERAGE(H2:H3),"Error")</f>
        <v>Error</v>
      </c>
      <c r="J3" s="55" t="str">
        <f>IF('6 Standards'!K39=0,"",'6 Standards'!K39)</f>
        <v/>
      </c>
    </row>
    <row r="4" spans="1:12" x14ac:dyDescent="0.3">
      <c r="A4" s="176">
        <v>2</v>
      </c>
      <c r="B4" s="89" t="str">
        <f>IF(ISBLANK('6 Standards'!B40),"No Sample Entered",'6 Standards'!B40)</f>
        <v>Muddy_Creek_T</v>
      </c>
      <c r="C4" s="90" t="str">
        <f>IF(ISBLANK('6 Standards'!C40),"No Date",TEXT('6 Standards'!C40,"mm/dd/yyyy"))</f>
        <v>No Date</v>
      </c>
      <c r="D4" s="90" t="str">
        <f>IF(ISBLANK('6 Standards'!D40),"No type entered",'6 Standards'!D40)</f>
        <v>Total</v>
      </c>
      <c r="E4" s="89">
        <v>1</v>
      </c>
      <c r="F4" s="94" t="str">
        <f>'6 Standards'!H40</f>
        <v>Invalid</v>
      </c>
      <c r="G4" s="89">
        <v>1</v>
      </c>
      <c r="H4" s="94" t="str">
        <f>IFERROR(F4*G4,"Error")</f>
        <v>Error</v>
      </c>
      <c r="I4" s="91"/>
      <c r="J4" s="55" t="str">
        <f>IF('6 Standards'!K40=0,"",'6 Standards'!K40)</f>
        <v>GREATER than Standard 5, outside of quantifiable range</v>
      </c>
    </row>
    <row r="5" spans="1:12" x14ac:dyDescent="0.3">
      <c r="A5" s="176"/>
      <c r="B5" s="55" t="str">
        <f>IF(ISBLANK('6 Standards'!B41),"No Sample Entered",'6 Standards'!B41)</f>
        <v>Muddy_Creek_T</v>
      </c>
      <c r="C5" s="60" t="str">
        <f>IF(ISBLANK('6 Standards'!C41),"No Date",TEXT('6 Standards'!C41,"mm/dd/yyyy"))</f>
        <v>No Date</v>
      </c>
      <c r="D5" s="60" t="str">
        <f>IF(ISBLANK('6 Standards'!D41),"No type entered",'6 Standards'!D41)</f>
        <v>Total</v>
      </c>
      <c r="E5" s="55">
        <v>2</v>
      </c>
      <c r="F5" s="94" t="str">
        <f>'6 Standards'!H41</f>
        <v>Invalid</v>
      </c>
      <c r="G5" s="55">
        <v>1</v>
      </c>
      <c r="H5" s="95" t="str">
        <f>IFERROR(F5*G5,"Error")</f>
        <v>Error</v>
      </c>
      <c r="I5" s="56" t="str">
        <f>IFERROR(AVERAGE(H4:H5),"Error")</f>
        <v>Error</v>
      </c>
      <c r="J5" s="55" t="str">
        <f>IF('6 Standards'!K41=0,"",'6 Standards'!K41)</f>
        <v/>
      </c>
    </row>
    <row r="6" spans="1:12" x14ac:dyDescent="0.3">
      <c r="A6" s="176">
        <v>3</v>
      </c>
      <c r="B6" s="57" t="str">
        <f>IF(ISBLANK('6 Standards'!B42),"No Sample Entered",'6 Standards'!B42)</f>
        <v>Muddy_Creek_D</v>
      </c>
      <c r="C6" s="58" t="str">
        <f>IF(ISBLANK('6 Standards'!C42),"No Date",TEXT('6 Standards'!C42,"mm/dd/yyyy"))</f>
        <v>No Date</v>
      </c>
      <c r="D6" s="58" t="str">
        <f>IF(ISBLANK('6 Standards'!D42),"No type entered",'6 Standards'!D42)</f>
        <v>Dissolved</v>
      </c>
      <c r="E6" s="57">
        <v>1</v>
      </c>
      <c r="F6" s="93" t="str">
        <f>'6 Standards'!H42</f>
        <v>Invalid</v>
      </c>
      <c r="G6" s="57">
        <v>1</v>
      </c>
      <c r="H6" s="93" t="str">
        <f t="shared" ref="H6:H69" si="0">IFERROR(F6*G6,"Error")</f>
        <v>Error</v>
      </c>
      <c r="I6" s="59"/>
      <c r="J6" s="55" t="str">
        <f>IF('6 Standards'!K42=0,"",'6 Standards'!K42)</f>
        <v>GREATER than Standard 5, outside of quantifiable range</v>
      </c>
    </row>
    <row r="7" spans="1:12" x14ac:dyDescent="0.3">
      <c r="A7" s="176"/>
      <c r="B7" s="57" t="str">
        <f>IF(ISBLANK('6 Standards'!B43),"No Sample Entered",'6 Standards'!B43)</f>
        <v>Muddy_Creek_D</v>
      </c>
      <c r="C7" s="58" t="str">
        <f>IF(ISBLANK('6 Standards'!C43),"No Date",TEXT('6 Standards'!C43,"mm/dd/yyyy"))</f>
        <v>No Date</v>
      </c>
      <c r="D7" s="58" t="str">
        <f>IF(ISBLANK('6 Standards'!D43),"No type entered",'6 Standards'!D43)</f>
        <v>Dissolved</v>
      </c>
      <c r="E7" s="57">
        <v>2</v>
      </c>
      <c r="F7" s="93" t="str">
        <f>'6 Standards'!H43</f>
        <v>Invalid</v>
      </c>
      <c r="G7" s="57">
        <v>1</v>
      </c>
      <c r="H7" s="93" t="str">
        <f t="shared" si="0"/>
        <v>Error</v>
      </c>
      <c r="I7" s="59" t="str">
        <f t="shared" ref="I7" si="1">IFERROR(AVERAGE(H6:H7),"Error")</f>
        <v>Error</v>
      </c>
      <c r="J7" s="55" t="str">
        <f>IF('6 Standards'!K43=0,"",'6 Standards'!K43)</f>
        <v/>
      </c>
    </row>
    <row r="8" spans="1:12" x14ac:dyDescent="0.3">
      <c r="A8" s="176">
        <v>4</v>
      </c>
      <c r="B8" s="89" t="str">
        <f>IF(ISBLANK('6 Standards'!B44),"No Sample Entered",'6 Standards'!B44)</f>
        <v>ODNR_4_T</v>
      </c>
      <c r="C8" s="90" t="str">
        <f>IF(ISBLANK('6 Standards'!C44),"No Date",TEXT('6 Standards'!C44,"mm/dd/yyyy"))</f>
        <v>No Date</v>
      </c>
      <c r="D8" s="90" t="str">
        <f>IF(ISBLANK('6 Standards'!D44),"No type entered",'6 Standards'!D44)</f>
        <v>Total</v>
      </c>
      <c r="E8" s="89">
        <v>1</v>
      </c>
      <c r="F8" s="94" t="str">
        <f>'6 Standards'!H44</f>
        <v>Invalid</v>
      </c>
      <c r="G8" s="89">
        <v>1</v>
      </c>
      <c r="H8" s="94" t="str">
        <f t="shared" si="0"/>
        <v>Error</v>
      </c>
      <c r="I8" s="91"/>
      <c r="J8" s="55" t="str">
        <f>IF('6 Standards'!K44=0,"",'6 Standards'!K44)</f>
        <v>GREATER than Standard 5, outside of quantifiable range</v>
      </c>
    </row>
    <row r="9" spans="1:12" x14ac:dyDescent="0.3">
      <c r="A9" s="176"/>
      <c r="B9" s="55" t="str">
        <f>IF(ISBLANK('6 Standards'!B45),"No Sample Entered",'6 Standards'!B45)</f>
        <v>ODNR_4_T</v>
      </c>
      <c r="C9" s="60" t="str">
        <f>IF(ISBLANK('6 Standards'!C45),"No Date",TEXT('6 Standards'!C45,"mm/dd/yyyy"))</f>
        <v>No Date</v>
      </c>
      <c r="D9" s="60" t="str">
        <f>IF(ISBLANK('6 Standards'!D45),"No type entered",'6 Standards'!D45)</f>
        <v>Total</v>
      </c>
      <c r="E9" s="55">
        <v>2</v>
      </c>
      <c r="F9" s="94" t="str">
        <f>'6 Standards'!H45</f>
        <v>Invalid</v>
      </c>
      <c r="G9" s="55">
        <v>1</v>
      </c>
      <c r="H9" s="95" t="str">
        <f t="shared" si="0"/>
        <v>Error</v>
      </c>
      <c r="I9" s="56" t="str">
        <f t="shared" ref="I9" si="2">IFERROR(AVERAGE(H8:H9),"Error")</f>
        <v>Error</v>
      </c>
      <c r="J9" s="55" t="str">
        <f>IF('6 Standards'!K45=0,"",'6 Standards'!K45)</f>
        <v/>
      </c>
    </row>
    <row r="10" spans="1:12" x14ac:dyDescent="0.3">
      <c r="A10" s="176">
        <v>5</v>
      </c>
      <c r="B10" s="57" t="str">
        <f>IF(ISBLANK('6 Standards'!B46),"No Sample Entered",'6 Standards'!B46)</f>
        <v>ODNR_4_D</v>
      </c>
      <c r="C10" s="58" t="str">
        <f>IF(ISBLANK('6 Standards'!C46),"No Date",TEXT('6 Standards'!C46,"mm/dd/yyyy"))</f>
        <v>No Date</v>
      </c>
      <c r="D10" s="58" t="str">
        <f>IF(ISBLANK('6 Standards'!D46),"No type entered",'6 Standards'!D46)</f>
        <v>Dissolved</v>
      </c>
      <c r="E10" s="57">
        <v>1</v>
      </c>
      <c r="F10" s="93" t="str">
        <f>'6 Standards'!H46</f>
        <v>Invalid</v>
      </c>
      <c r="G10" s="57">
        <v>1</v>
      </c>
      <c r="H10" s="93" t="str">
        <f t="shared" si="0"/>
        <v>Error</v>
      </c>
      <c r="I10" s="59"/>
      <c r="J10" s="55" t="str">
        <f>IF('6 Standards'!K46=0,"",'6 Standards'!K46)</f>
        <v>GREATER than Standard 5, outside of quantifiable range</v>
      </c>
    </row>
    <row r="11" spans="1:12" x14ac:dyDescent="0.3">
      <c r="A11" s="176"/>
      <c r="B11" s="57" t="str">
        <f>IF(ISBLANK('6 Standards'!B47),"No Sample Entered",'6 Standards'!B47)</f>
        <v>ODNR_4_D</v>
      </c>
      <c r="C11" s="58" t="str">
        <f>IF(ISBLANK('6 Standards'!C47),"No Date",TEXT('6 Standards'!C47,"mm/dd/yyyy"))</f>
        <v>No Date</v>
      </c>
      <c r="D11" s="58" t="str">
        <f>IF(ISBLANK('6 Standards'!D47),"No type entered",'6 Standards'!D47)</f>
        <v>Dissolved</v>
      </c>
      <c r="E11" s="57">
        <v>2</v>
      </c>
      <c r="F11" s="93" t="str">
        <f>'6 Standards'!H47</f>
        <v>Invalid</v>
      </c>
      <c r="G11" s="57">
        <v>1</v>
      </c>
      <c r="H11" s="93" t="str">
        <f t="shared" si="0"/>
        <v>Error</v>
      </c>
      <c r="I11" s="59" t="str">
        <f t="shared" ref="I11" si="3">IFERROR(AVERAGE(H10:H11),"Error")</f>
        <v>Error</v>
      </c>
      <c r="J11" s="55" t="str">
        <f>IF('6 Standards'!K47=0,"",'6 Standards'!K47)</f>
        <v/>
      </c>
    </row>
    <row r="12" spans="1:12" x14ac:dyDescent="0.3">
      <c r="A12" s="176">
        <v>6</v>
      </c>
      <c r="B12" s="89" t="str">
        <f>IF(ISBLANK('6 Standards'!B48),"No Sample Entered",'6 Standards'!B48)</f>
        <v>ODNR_6_T</v>
      </c>
      <c r="C12" s="90" t="str">
        <f>IF(ISBLANK('6 Standards'!C48),"No Date",TEXT('6 Standards'!C48,"mm/dd/yyyy"))</f>
        <v>No Date</v>
      </c>
      <c r="D12" s="90" t="str">
        <f>IF(ISBLANK('6 Standards'!D48),"No type entered",'6 Standards'!D48)</f>
        <v>Total</v>
      </c>
      <c r="E12" s="89">
        <v>1</v>
      </c>
      <c r="F12" s="94" t="str">
        <f>'6 Standards'!H48</f>
        <v>Invalid</v>
      </c>
      <c r="G12" s="89">
        <v>1</v>
      </c>
      <c r="H12" s="94" t="str">
        <f t="shared" si="0"/>
        <v>Error</v>
      </c>
      <c r="I12" s="91"/>
      <c r="J12" s="55" t="str">
        <f>IF('6 Standards'!K48=0,"",'6 Standards'!K48)</f>
        <v>GREATER than Standard 5, outside of quantifiable range</v>
      </c>
    </row>
    <row r="13" spans="1:12" x14ac:dyDescent="0.3">
      <c r="A13" s="176"/>
      <c r="B13" s="55" t="str">
        <f>IF(ISBLANK('6 Standards'!B49),"No Sample Entered",'6 Standards'!B49)</f>
        <v>ODNR_6_T</v>
      </c>
      <c r="C13" s="60" t="str">
        <f>IF(ISBLANK('6 Standards'!C49),"No Date",TEXT('6 Standards'!C49,"mm/dd/yyyy"))</f>
        <v>No Date</v>
      </c>
      <c r="D13" s="60" t="str">
        <f>IF(ISBLANK('6 Standards'!D49),"No type entered",'6 Standards'!D49)</f>
        <v>Total</v>
      </c>
      <c r="E13" s="55">
        <v>2</v>
      </c>
      <c r="F13" s="94" t="str">
        <f>'6 Standards'!H49</f>
        <v>Invalid</v>
      </c>
      <c r="G13" s="55">
        <v>1</v>
      </c>
      <c r="H13" s="95" t="str">
        <f t="shared" si="0"/>
        <v>Error</v>
      </c>
      <c r="I13" s="56" t="str">
        <f t="shared" ref="I13" si="4">IFERROR(AVERAGE(H12:H13),"Error")</f>
        <v>Error</v>
      </c>
      <c r="J13" s="55" t="str">
        <f>IF('6 Standards'!K49=0,"",'6 Standards'!K49)</f>
        <v/>
      </c>
    </row>
    <row r="14" spans="1:12" x14ac:dyDescent="0.3">
      <c r="A14" s="176">
        <v>7</v>
      </c>
      <c r="B14" s="57" t="str">
        <f>IF(ISBLANK('6 Standards'!B50),"No Sample Entered",'6 Standards'!B50)</f>
        <v>ODNR_6_D</v>
      </c>
      <c r="C14" s="58" t="str">
        <f>IF(ISBLANK('6 Standards'!C50),"No Date",TEXT('6 Standards'!C50,"mm/dd/yyyy"))</f>
        <v>No Date</v>
      </c>
      <c r="D14" s="58" t="str">
        <f>IF(ISBLANK('6 Standards'!D50),"No type entered",'6 Standards'!D50)</f>
        <v>Dissolved</v>
      </c>
      <c r="E14" s="57">
        <v>1</v>
      </c>
      <c r="F14" s="93" t="str">
        <f>'6 Standards'!H50</f>
        <v>Invalid</v>
      </c>
      <c r="G14" s="57">
        <v>1</v>
      </c>
      <c r="H14" s="93" t="str">
        <f t="shared" si="0"/>
        <v>Error</v>
      </c>
      <c r="I14" s="59"/>
      <c r="J14" s="55" t="str">
        <f>IF('6 Standards'!K50=0,"",'6 Standards'!K50)</f>
        <v>GREATER than Standard 5, outside of quantifiable range</v>
      </c>
    </row>
    <row r="15" spans="1:12" x14ac:dyDescent="0.3">
      <c r="A15" s="176"/>
      <c r="B15" s="57" t="str">
        <f>IF(ISBLANK('6 Standards'!B51),"No Sample Entered",'6 Standards'!B51)</f>
        <v>ODNR_6_D</v>
      </c>
      <c r="C15" s="58" t="str">
        <f>IF(ISBLANK('6 Standards'!C51),"No Date",TEXT('6 Standards'!C51,"mm/dd/yyyy"))</f>
        <v>No Date</v>
      </c>
      <c r="D15" s="58" t="str">
        <f>IF(ISBLANK('6 Standards'!D51),"No type entered",'6 Standards'!D51)</f>
        <v>Dissolved</v>
      </c>
      <c r="E15" s="57">
        <v>2</v>
      </c>
      <c r="F15" s="93" t="str">
        <f>'6 Standards'!H51</f>
        <v>Invalid</v>
      </c>
      <c r="G15" s="57">
        <v>1</v>
      </c>
      <c r="H15" s="93" t="str">
        <f t="shared" si="0"/>
        <v>Error</v>
      </c>
      <c r="I15" s="59" t="str">
        <f t="shared" ref="I15" si="5">IFERROR(AVERAGE(H14:H15),"Error")</f>
        <v>Error</v>
      </c>
      <c r="J15" s="55" t="str">
        <f>IF('6 Standards'!K51=0,"",'6 Standards'!K51)</f>
        <v/>
      </c>
    </row>
    <row r="16" spans="1:12" x14ac:dyDescent="0.3">
      <c r="A16" s="176">
        <v>8</v>
      </c>
      <c r="B16" s="89" t="str">
        <f>IF(ISBLANK('6 Standards'!B52),"No Sample Entered",'6 Standards'!B52)</f>
        <v>Bridge_T</v>
      </c>
      <c r="C16" s="90" t="str">
        <f>IF(ISBLANK('6 Standards'!C52),"No Date",TEXT('6 Standards'!C52,"mm/dd/yyyy"))</f>
        <v>No Date</v>
      </c>
      <c r="D16" s="90" t="str">
        <f>IF(ISBLANK('6 Standards'!D52),"No type entered",'6 Standards'!D52)</f>
        <v>Total</v>
      </c>
      <c r="E16" s="89">
        <v>1</v>
      </c>
      <c r="F16" s="94" t="str">
        <f>'6 Standards'!H52</f>
        <v>Invalid</v>
      </c>
      <c r="G16" s="89">
        <v>1</v>
      </c>
      <c r="H16" s="94" t="str">
        <f t="shared" si="0"/>
        <v>Error</v>
      </c>
      <c r="I16" s="91"/>
      <c r="J16" s="55" t="str">
        <f>IF('6 Standards'!K52=0,"",'6 Standards'!K52)</f>
        <v>GREATER than Standard 5, outside of quantifiable range</v>
      </c>
    </row>
    <row r="17" spans="1:10" x14ac:dyDescent="0.3">
      <c r="A17" s="176"/>
      <c r="B17" s="55" t="str">
        <f>IF(ISBLANK('6 Standards'!B53),"No Sample Entered",'6 Standards'!B53)</f>
        <v>Bridge_T</v>
      </c>
      <c r="C17" s="60" t="str">
        <f>IF(ISBLANK('6 Standards'!C53),"No Date",TEXT('6 Standards'!C53,"mm/dd/yyyy"))</f>
        <v>No Date</v>
      </c>
      <c r="D17" s="60" t="str">
        <f>IF(ISBLANK('6 Standards'!D53),"No type entered",'6 Standards'!D53)</f>
        <v>Total</v>
      </c>
      <c r="E17" s="55">
        <v>2</v>
      </c>
      <c r="F17" s="94" t="str">
        <f>'6 Standards'!H53</f>
        <v>Invalid</v>
      </c>
      <c r="G17" s="55">
        <v>1</v>
      </c>
      <c r="H17" s="95" t="str">
        <f t="shared" si="0"/>
        <v>Error</v>
      </c>
      <c r="I17" s="56" t="str">
        <f t="shared" ref="I17" si="6">IFERROR(AVERAGE(H16:H17),"Error")</f>
        <v>Error</v>
      </c>
      <c r="J17" s="55" t="str">
        <f>IF('6 Standards'!K53=0,"",'6 Standards'!K53)</f>
        <v/>
      </c>
    </row>
    <row r="18" spans="1:10" x14ac:dyDescent="0.3">
      <c r="A18" s="176">
        <v>9</v>
      </c>
      <c r="B18" s="57" t="str">
        <f>IF(ISBLANK('6 Standards'!B54),"No Sample Entered",'6 Standards'!B54)</f>
        <v>Bridge_D</v>
      </c>
      <c r="C18" s="58" t="str">
        <f>IF(ISBLANK('6 Standards'!C54),"No Date",TEXT('6 Standards'!C54,"mm/dd/yyyy"))</f>
        <v>No Date</v>
      </c>
      <c r="D18" s="58" t="str">
        <f>IF(ISBLANK('6 Standards'!D54),"No type entered",'6 Standards'!D54)</f>
        <v>Dissolved</v>
      </c>
      <c r="E18" s="57">
        <v>1</v>
      </c>
      <c r="F18" s="93" t="str">
        <f>'6 Standards'!H54</f>
        <v>Invalid</v>
      </c>
      <c r="G18" s="57">
        <v>1</v>
      </c>
      <c r="H18" s="93" t="str">
        <f t="shared" si="0"/>
        <v>Error</v>
      </c>
      <c r="I18" s="59"/>
      <c r="J18" s="55" t="str">
        <f>IF('6 Standards'!K54=0,"",'6 Standards'!K54)</f>
        <v>GREATER than Standard 5, outside of quantifiable range</v>
      </c>
    </row>
    <row r="19" spans="1:10" x14ac:dyDescent="0.3">
      <c r="A19" s="176"/>
      <c r="B19" s="57" t="str">
        <f>IF(ISBLANK('6 Standards'!B55),"No Sample Entered",'6 Standards'!B55)</f>
        <v>Bridge_D</v>
      </c>
      <c r="C19" s="58" t="str">
        <f>IF(ISBLANK('6 Standards'!C55),"No Date",TEXT('6 Standards'!C55,"mm/dd/yyyy"))</f>
        <v>No Date</v>
      </c>
      <c r="D19" s="58" t="str">
        <f>IF(ISBLANK('6 Standards'!D55),"No type entered",'6 Standards'!D55)</f>
        <v>Dissolved</v>
      </c>
      <c r="E19" s="57">
        <v>2</v>
      </c>
      <c r="F19" s="93" t="str">
        <f>'6 Standards'!H55</f>
        <v>Invalid</v>
      </c>
      <c r="G19" s="57">
        <v>1</v>
      </c>
      <c r="H19" s="93" t="str">
        <f t="shared" si="0"/>
        <v>Error</v>
      </c>
      <c r="I19" s="59" t="str">
        <f t="shared" ref="I19" si="7">IFERROR(AVERAGE(H18:H19),"Error")</f>
        <v>Error</v>
      </c>
      <c r="J19" s="55" t="str">
        <f>IF('6 Standards'!K55=0,"",'6 Standards'!K55)</f>
        <v/>
      </c>
    </row>
    <row r="20" spans="1:10" x14ac:dyDescent="0.3">
      <c r="A20" s="176">
        <v>10</v>
      </c>
      <c r="B20" s="89" t="str">
        <f>IF(ISBLANK('6 Standards'!B56),"No Sample Entered",'6 Standards'!B56)</f>
        <v>ODNR_2_T</v>
      </c>
      <c r="C20" s="90" t="str">
        <f>IF(ISBLANK('6 Standards'!C56),"No Date",TEXT('6 Standards'!C56,"mm/dd/yyyy"))</f>
        <v>No Date</v>
      </c>
      <c r="D20" s="90" t="str">
        <f>IF(ISBLANK('6 Standards'!D56),"No type entered",'6 Standards'!D56)</f>
        <v>Total</v>
      </c>
      <c r="E20" s="89">
        <v>1</v>
      </c>
      <c r="F20" s="94" t="str">
        <f>'6 Standards'!H56</f>
        <v>Invalid</v>
      </c>
      <c r="G20" s="89">
        <v>1</v>
      </c>
      <c r="H20" s="94" t="str">
        <f t="shared" si="0"/>
        <v>Error</v>
      </c>
      <c r="I20" s="91"/>
      <c r="J20" s="55" t="str">
        <f>IF('6 Standards'!K56=0,"",'6 Standards'!K56)</f>
        <v>GREATER than Standard 5, outside of quantifiable range</v>
      </c>
    </row>
    <row r="21" spans="1:10" x14ac:dyDescent="0.3">
      <c r="A21" s="176"/>
      <c r="B21" s="55" t="str">
        <f>IF(ISBLANK('6 Standards'!B57),"No Sample Entered",'6 Standards'!B57)</f>
        <v>ODNR_2_T</v>
      </c>
      <c r="C21" s="60" t="str">
        <f>IF(ISBLANK('6 Standards'!C57),"No Date",TEXT('6 Standards'!C57,"mm/dd/yyyy"))</f>
        <v>No Date</v>
      </c>
      <c r="D21" s="60" t="str">
        <f>IF(ISBLANK('6 Standards'!D57),"No type entered",'6 Standards'!D57)</f>
        <v>Total</v>
      </c>
      <c r="E21" s="55">
        <v>2</v>
      </c>
      <c r="F21" s="94" t="str">
        <f>'6 Standards'!H57</f>
        <v>Invalid</v>
      </c>
      <c r="G21" s="55">
        <v>1</v>
      </c>
      <c r="H21" s="95" t="str">
        <f t="shared" si="0"/>
        <v>Error</v>
      </c>
      <c r="I21" s="56" t="str">
        <f t="shared" ref="I21" si="8">IFERROR(AVERAGE(H20:H21),"Error")</f>
        <v>Error</v>
      </c>
      <c r="J21" s="55" t="str">
        <f>IF('6 Standards'!K57=0,"",'6 Standards'!K57)</f>
        <v/>
      </c>
    </row>
    <row r="22" spans="1:10" x14ac:dyDescent="0.3">
      <c r="A22" s="176">
        <v>11</v>
      </c>
      <c r="B22" s="57" t="str">
        <f>IF(ISBLANK('6 Standards'!B58),"No Sample Entered",'6 Standards'!B58)</f>
        <v>ODNR_2_D</v>
      </c>
      <c r="C22" s="58" t="str">
        <f>IF(ISBLANK('6 Standards'!C58),"No Date",TEXT('6 Standards'!C58,"mm/dd/yyyy"))</f>
        <v>No Date</v>
      </c>
      <c r="D22" s="58" t="str">
        <f>IF(ISBLANK('6 Standards'!D58),"No type entered",'6 Standards'!D58)</f>
        <v>Dissolved</v>
      </c>
      <c r="E22" s="57">
        <v>1</v>
      </c>
      <c r="F22" s="93" t="str">
        <f>'6 Standards'!H58</f>
        <v>Invalid</v>
      </c>
      <c r="G22" s="57">
        <v>1</v>
      </c>
      <c r="H22" s="93" t="str">
        <f t="shared" si="0"/>
        <v>Error</v>
      </c>
      <c r="I22" s="59"/>
      <c r="J22" s="55" t="str">
        <f>IF('6 Standards'!K58=0,"",'6 Standards'!K58)</f>
        <v>GREATER than Standard 5, outside of quantifiable range</v>
      </c>
    </row>
    <row r="23" spans="1:10" x14ac:dyDescent="0.3">
      <c r="A23" s="176"/>
      <c r="B23" s="57" t="str">
        <f>IF(ISBLANK('6 Standards'!B59),"No Sample Entered",'6 Standards'!B59)</f>
        <v>ODNR_2_D</v>
      </c>
      <c r="C23" s="58" t="str">
        <f>IF(ISBLANK('6 Standards'!C59),"No Date",TEXT('6 Standards'!C59,"mm/dd/yyyy"))</f>
        <v>No Date</v>
      </c>
      <c r="D23" s="58" t="str">
        <f>IF(ISBLANK('6 Standards'!D59),"No type entered",'6 Standards'!D59)</f>
        <v>Dissolved</v>
      </c>
      <c r="E23" s="57">
        <v>2</v>
      </c>
      <c r="F23" s="93" t="str">
        <f>'6 Standards'!H59</f>
        <v>Invalid</v>
      </c>
      <c r="G23" s="57">
        <v>1</v>
      </c>
      <c r="H23" s="93" t="str">
        <f t="shared" si="0"/>
        <v>Error</v>
      </c>
      <c r="I23" s="59" t="str">
        <f t="shared" ref="I23" si="9">IFERROR(AVERAGE(H22:H23),"Error")</f>
        <v>Error</v>
      </c>
      <c r="J23" s="55" t="str">
        <f>IF('6 Standards'!K59=0,"",'6 Standards'!K59)</f>
        <v/>
      </c>
    </row>
    <row r="24" spans="1:10" x14ac:dyDescent="0.3">
      <c r="A24" s="176">
        <v>12</v>
      </c>
      <c r="B24" s="89" t="str">
        <f>IF(ISBLANK('6 Standards'!B60),"No Sample Entered",'6 Standards'!B60)</f>
        <v>Buoy_2_T</v>
      </c>
      <c r="C24" s="90" t="str">
        <f>IF(ISBLANK('6 Standards'!C60),"No Date",TEXT('6 Standards'!C60,"mm/dd/yyyy"))</f>
        <v>No Date</v>
      </c>
      <c r="D24" s="90" t="str">
        <f>IF(ISBLANK('6 Standards'!D60),"No type entered",'6 Standards'!D60)</f>
        <v>Total</v>
      </c>
      <c r="E24" s="89">
        <v>1</v>
      </c>
      <c r="F24" s="94" t="str">
        <f>'6 Standards'!H60</f>
        <v>Invalid</v>
      </c>
      <c r="G24" s="89">
        <v>1</v>
      </c>
      <c r="H24" s="94" t="str">
        <f t="shared" si="0"/>
        <v>Error</v>
      </c>
      <c r="I24" s="91"/>
      <c r="J24" s="55" t="str">
        <f>IF('6 Standards'!K60=0,"",'6 Standards'!K60)</f>
        <v>GREATER than Standard 5, outside of quantifiable range</v>
      </c>
    </row>
    <row r="25" spans="1:10" x14ac:dyDescent="0.3">
      <c r="A25" s="176"/>
      <c r="B25" s="55" t="str">
        <f>IF(ISBLANK('6 Standards'!B61),"No Sample Entered",'6 Standards'!B61)</f>
        <v>Buoy_2_T</v>
      </c>
      <c r="C25" s="60" t="str">
        <f>IF(ISBLANK('6 Standards'!C61),"No Date",TEXT('6 Standards'!C61,"mm/dd/yyyy"))</f>
        <v>No Date</v>
      </c>
      <c r="D25" s="60" t="str">
        <f>IF(ISBLANK('6 Standards'!D61),"No type entered",'6 Standards'!D61)</f>
        <v>Total</v>
      </c>
      <c r="E25" s="55">
        <v>2</v>
      </c>
      <c r="F25" s="94" t="str">
        <f>'6 Standards'!H61</f>
        <v>Invalid</v>
      </c>
      <c r="G25" s="55">
        <v>1</v>
      </c>
      <c r="H25" s="95" t="str">
        <f t="shared" si="0"/>
        <v>Error</v>
      </c>
      <c r="I25" s="56" t="str">
        <f t="shared" ref="I25" si="10">IFERROR(AVERAGE(H24:H25),"Error")</f>
        <v>Error</v>
      </c>
      <c r="J25" s="55" t="str">
        <f>IF('6 Standards'!K61=0,"",'6 Standards'!K61)</f>
        <v/>
      </c>
    </row>
    <row r="26" spans="1:10" x14ac:dyDescent="0.3">
      <c r="A26" s="176">
        <v>13</v>
      </c>
      <c r="B26" s="57" t="str">
        <f>IF(ISBLANK('6 Standards'!B62),"No Sample Entered",'6 Standards'!B62)</f>
        <v>Buoy_2_D</v>
      </c>
      <c r="C26" s="58" t="str">
        <f>IF(ISBLANK('6 Standards'!C62),"No Date",TEXT('6 Standards'!C62,"mm/dd/yyyy"))</f>
        <v>No Date</v>
      </c>
      <c r="D26" s="58" t="str">
        <f>IF(ISBLANK('6 Standards'!D62),"No type entered",'6 Standards'!D62)</f>
        <v>Dissolved</v>
      </c>
      <c r="E26" s="57">
        <v>1</v>
      </c>
      <c r="F26" s="93" t="str">
        <f>'6 Standards'!H62</f>
        <v>Invalid</v>
      </c>
      <c r="G26" s="57">
        <v>1</v>
      </c>
      <c r="H26" s="93" t="str">
        <f t="shared" si="0"/>
        <v>Error</v>
      </c>
      <c r="I26" s="59"/>
      <c r="J26" s="55" t="str">
        <f>IF('6 Standards'!K62=0,"",'6 Standards'!K62)</f>
        <v>GREATER than Standard 5, outside of quantifiable range</v>
      </c>
    </row>
    <row r="27" spans="1:10" x14ac:dyDescent="0.3">
      <c r="A27" s="176"/>
      <c r="B27" s="57" t="str">
        <f>IF(ISBLANK('6 Standards'!B63),"No Sample Entered",'6 Standards'!B63)</f>
        <v>Buoy_2_D</v>
      </c>
      <c r="C27" s="58" t="str">
        <f>IF(ISBLANK('6 Standards'!C63),"No Date",TEXT('6 Standards'!C63,"mm/dd/yyyy"))</f>
        <v>No Date</v>
      </c>
      <c r="D27" s="58" t="str">
        <f>IF(ISBLANK('6 Standards'!D63),"No type entered",'6 Standards'!D63)</f>
        <v>Dissolved</v>
      </c>
      <c r="E27" s="57">
        <v>2</v>
      </c>
      <c r="F27" s="93" t="str">
        <f>'6 Standards'!H63</f>
        <v>Invalid</v>
      </c>
      <c r="G27" s="57">
        <v>1</v>
      </c>
      <c r="H27" s="93" t="str">
        <f t="shared" si="0"/>
        <v>Error</v>
      </c>
      <c r="I27" s="59" t="str">
        <f t="shared" ref="I27" si="11">IFERROR(AVERAGE(H26:H27),"Error")</f>
        <v>Error</v>
      </c>
      <c r="J27" s="55" t="str">
        <f>IF('6 Standards'!K63=0,"",'6 Standards'!K63)</f>
        <v/>
      </c>
    </row>
    <row r="28" spans="1:10" x14ac:dyDescent="0.3">
      <c r="A28" s="176">
        <v>14</v>
      </c>
      <c r="B28" s="89" t="str">
        <f>IF(ISBLANK('6 Standards'!B64),"No Sample Entered",'6 Standards'!B64)</f>
        <v>ODNR_1_T</v>
      </c>
      <c r="C28" s="90" t="str">
        <f>IF(ISBLANK('6 Standards'!C64),"No Date",TEXT('6 Standards'!C64,"mm/dd/yyyy"))</f>
        <v>No Date</v>
      </c>
      <c r="D28" s="90" t="str">
        <f>IF(ISBLANK('6 Standards'!D64),"No type entered",'6 Standards'!D64)</f>
        <v>Total</v>
      </c>
      <c r="E28" s="89">
        <v>1</v>
      </c>
      <c r="F28" s="94" t="str">
        <f>'6 Standards'!H64</f>
        <v>Invalid</v>
      </c>
      <c r="G28" s="89">
        <v>1</v>
      </c>
      <c r="H28" s="94" t="str">
        <f t="shared" si="0"/>
        <v>Error</v>
      </c>
      <c r="I28" s="91"/>
      <c r="J28" s="55" t="str">
        <f>IF('6 Standards'!K64=0,"",'6 Standards'!K64)</f>
        <v>GREATER than Standard 5, outside of quantifiable range</v>
      </c>
    </row>
    <row r="29" spans="1:10" x14ac:dyDescent="0.3">
      <c r="A29" s="176"/>
      <c r="B29" s="55" t="str">
        <f>IF(ISBLANK('6 Standards'!B65),"No Sample Entered",'6 Standards'!B65)</f>
        <v>ODNR_1_T</v>
      </c>
      <c r="C29" s="60" t="str">
        <f>IF(ISBLANK('6 Standards'!C65),"No Date",TEXT('6 Standards'!C65,"mm/dd/yyyy"))</f>
        <v>No Date</v>
      </c>
      <c r="D29" s="60" t="str">
        <f>IF(ISBLANK('6 Standards'!D65),"No type entered",'6 Standards'!D65)</f>
        <v>Total</v>
      </c>
      <c r="E29" s="55">
        <v>2</v>
      </c>
      <c r="F29" s="94" t="str">
        <f>'6 Standards'!H65</f>
        <v>Invalid</v>
      </c>
      <c r="G29" s="55">
        <v>1</v>
      </c>
      <c r="H29" s="95" t="str">
        <f t="shared" si="0"/>
        <v>Error</v>
      </c>
      <c r="I29" s="56" t="str">
        <f t="shared" ref="I29" si="12">IFERROR(AVERAGE(H28:H29),"Error")</f>
        <v>Error</v>
      </c>
      <c r="J29" s="55" t="str">
        <f>IF('6 Standards'!K65=0,"",'6 Standards'!K65)</f>
        <v/>
      </c>
    </row>
    <row r="30" spans="1:10" x14ac:dyDescent="0.3">
      <c r="A30" s="176">
        <v>15</v>
      </c>
      <c r="B30" s="57" t="str">
        <f>IF(ISBLANK('6 Standards'!B66),"No Sample Entered",'6 Standards'!B66)</f>
        <v>ODNR_1_D</v>
      </c>
      <c r="C30" s="58" t="str">
        <f>IF(ISBLANK('6 Standards'!C66),"No Date",TEXT('6 Standards'!C66,"mm/dd/yyyy"))</f>
        <v>No Date</v>
      </c>
      <c r="D30" s="58" t="str">
        <f>IF(ISBLANK('6 Standards'!D66),"No type entered",'6 Standards'!D66)</f>
        <v>Dissolved</v>
      </c>
      <c r="E30" s="57">
        <v>1</v>
      </c>
      <c r="F30" s="93" t="str">
        <f>'6 Standards'!H66</f>
        <v>Invalid</v>
      </c>
      <c r="G30" s="57">
        <v>1</v>
      </c>
      <c r="H30" s="93" t="str">
        <f t="shared" si="0"/>
        <v>Error</v>
      </c>
      <c r="I30" s="59"/>
      <c r="J30" s="55" t="str">
        <f>IF('6 Standards'!K66=0,"",'6 Standards'!K66)</f>
        <v>GREATER than Standard 5, outside of quantifiable range</v>
      </c>
    </row>
    <row r="31" spans="1:10" x14ac:dyDescent="0.3">
      <c r="A31" s="176"/>
      <c r="B31" s="57" t="str">
        <f>IF(ISBLANK('6 Standards'!B67),"No Sample Entered",'6 Standards'!B67)</f>
        <v>ODNR_1_D</v>
      </c>
      <c r="C31" s="58" t="str">
        <f>IF(ISBLANK('6 Standards'!C67),"No Date",TEXT('6 Standards'!C67,"mm/dd/yyyy"))</f>
        <v>No Date</v>
      </c>
      <c r="D31" s="58" t="str">
        <f>IF(ISBLANK('6 Standards'!D67),"No type entered",'6 Standards'!D67)</f>
        <v>Dissolved</v>
      </c>
      <c r="E31" s="57">
        <v>2</v>
      </c>
      <c r="F31" s="93" t="str">
        <f>'6 Standards'!H67</f>
        <v>Invalid</v>
      </c>
      <c r="G31" s="57">
        <v>1</v>
      </c>
      <c r="H31" s="93" t="str">
        <f t="shared" si="0"/>
        <v>Error</v>
      </c>
      <c r="I31" s="59" t="str">
        <f t="shared" ref="I31" si="13">IFERROR(AVERAGE(H30:H31),"Error")</f>
        <v>Error</v>
      </c>
      <c r="J31" s="55" t="str">
        <f>IF('6 Standards'!K67=0,"",'6 Standards'!K67)</f>
        <v/>
      </c>
    </row>
    <row r="32" spans="1:10" x14ac:dyDescent="0.3">
      <c r="A32" s="176">
        <v>16</v>
      </c>
      <c r="B32" s="89" t="str">
        <f>IF(ISBLANK('6 Standards'!B68),"No Sample Entered",'6 Standards'!B68)</f>
        <v>EC_1163_T</v>
      </c>
      <c r="C32" s="90" t="str">
        <f>IF(ISBLANK('6 Standards'!C68),"No Date",TEXT('6 Standards'!C68,"mm/dd/yyyy"))</f>
        <v>No Date</v>
      </c>
      <c r="D32" s="90" t="str">
        <f>IF(ISBLANK('6 Standards'!D68),"No type entered",'6 Standards'!D68)</f>
        <v>Total</v>
      </c>
      <c r="E32" s="89">
        <v>1</v>
      </c>
      <c r="F32" s="94" t="str">
        <f>'6 Standards'!H68</f>
        <v>Invalid</v>
      </c>
      <c r="G32" s="89">
        <v>1</v>
      </c>
      <c r="H32" s="94" t="str">
        <f t="shared" si="0"/>
        <v>Error</v>
      </c>
      <c r="I32" s="91"/>
      <c r="J32" s="55" t="str">
        <f>IF('6 Standards'!K68=0,"",'6 Standards'!K68)</f>
        <v>GREATER than Standard 5, outside of quantifiable range</v>
      </c>
    </row>
    <row r="33" spans="1:10" x14ac:dyDescent="0.3">
      <c r="A33" s="176"/>
      <c r="B33" s="55" t="str">
        <f>IF(ISBLANK('6 Standards'!B69),"No Sample Entered",'6 Standards'!B69)</f>
        <v>EC_1163_T</v>
      </c>
      <c r="C33" s="60" t="str">
        <f>IF(ISBLANK('6 Standards'!C69),"No Date",TEXT('6 Standards'!C69,"mm/dd/yyyy"))</f>
        <v>No Date</v>
      </c>
      <c r="D33" s="60" t="str">
        <f>IF(ISBLANK('6 Standards'!D69),"No type entered",'6 Standards'!D69)</f>
        <v>Total</v>
      </c>
      <c r="E33" s="55">
        <v>2</v>
      </c>
      <c r="F33" s="94" t="str">
        <f>'6 Standards'!H69</f>
        <v>Invalid</v>
      </c>
      <c r="G33" s="55">
        <v>1</v>
      </c>
      <c r="H33" s="95" t="str">
        <f t="shared" si="0"/>
        <v>Error</v>
      </c>
      <c r="I33" s="56" t="str">
        <f t="shared" ref="I33" si="14">IFERROR(AVERAGE(H32:H33),"Error")</f>
        <v>Error</v>
      </c>
      <c r="J33" s="55" t="str">
        <f>IF('6 Standards'!K69=0,"",'6 Standards'!K69)</f>
        <v/>
      </c>
    </row>
    <row r="34" spans="1:10" x14ac:dyDescent="0.3">
      <c r="A34" s="176">
        <v>17</v>
      </c>
      <c r="B34" s="57" t="str">
        <f>IF(ISBLANK('6 Standards'!B70),"No Sample Entered",'6 Standards'!B70)</f>
        <v>EC_1163_D</v>
      </c>
      <c r="C34" s="58" t="str">
        <f>IF(ISBLANK('6 Standards'!C70),"No Date",TEXT('6 Standards'!C70,"mm/dd/yyyy"))</f>
        <v>No Date</v>
      </c>
      <c r="D34" s="58" t="str">
        <f>IF(ISBLANK('6 Standards'!D70),"No type entered",'6 Standards'!D70)</f>
        <v>Dissolved</v>
      </c>
      <c r="E34" s="57">
        <v>1</v>
      </c>
      <c r="F34" s="93" t="str">
        <f>'6 Standards'!H70</f>
        <v>Invalid</v>
      </c>
      <c r="G34" s="57">
        <v>1</v>
      </c>
      <c r="H34" s="93" t="str">
        <f t="shared" si="0"/>
        <v>Error</v>
      </c>
      <c r="I34" s="59"/>
      <c r="J34" s="55" t="str">
        <f>IF('6 Standards'!K70=0,"",'6 Standards'!K70)</f>
        <v>GREATER than Standard 5, outside of quantifiable range</v>
      </c>
    </row>
    <row r="35" spans="1:10" x14ac:dyDescent="0.3">
      <c r="A35" s="176"/>
      <c r="B35" s="57" t="str">
        <f>IF(ISBLANK('6 Standards'!B71),"No Sample Entered",'6 Standards'!B71)</f>
        <v>EC_1163_D</v>
      </c>
      <c r="C35" s="58" t="str">
        <f>IF(ISBLANK('6 Standards'!C71),"No Date",TEXT('6 Standards'!C71,"mm/dd/yyyy"))</f>
        <v>No Date</v>
      </c>
      <c r="D35" s="58" t="str">
        <f>IF(ISBLANK('6 Standards'!D71),"No type entered",'6 Standards'!D71)</f>
        <v>Dissolved</v>
      </c>
      <c r="E35" s="57">
        <v>2</v>
      </c>
      <c r="F35" s="93" t="str">
        <f>'6 Standards'!H71</f>
        <v>Invalid</v>
      </c>
      <c r="G35" s="57">
        <v>1</v>
      </c>
      <c r="H35" s="93" t="str">
        <f t="shared" si="0"/>
        <v>Error</v>
      </c>
      <c r="I35" s="59" t="str">
        <f t="shared" ref="I35" si="15">IFERROR(AVERAGE(H34:H35),"Error")</f>
        <v>Error</v>
      </c>
      <c r="J35" s="55" t="str">
        <f>IF('6 Standards'!K71=0,"",'6 Standards'!K71)</f>
        <v/>
      </c>
    </row>
    <row r="36" spans="1:10" x14ac:dyDescent="0.3">
      <c r="A36" s="176">
        <v>18</v>
      </c>
      <c r="B36" s="89" t="str">
        <f>IF(ISBLANK('6 Standards'!B72),"No Sample Entered",'6 Standards'!B72)</f>
        <v>Causeway_T</v>
      </c>
      <c r="C36" s="90" t="str">
        <f>IF(ISBLANK('6 Standards'!C72),"No Date",TEXT('6 Standards'!C72,"mm/dd/yyyy"))</f>
        <v>No Date</v>
      </c>
      <c r="D36" s="90" t="str">
        <f>IF(ISBLANK('6 Standards'!D72),"No type entered",'6 Standards'!D72)</f>
        <v>Total</v>
      </c>
      <c r="E36" s="89">
        <v>1</v>
      </c>
      <c r="F36" s="94" t="str">
        <f>'6 Standards'!H72</f>
        <v>Invalid</v>
      </c>
      <c r="G36" s="89">
        <v>1</v>
      </c>
      <c r="H36" s="94" t="str">
        <f t="shared" si="0"/>
        <v>Error</v>
      </c>
      <c r="I36" s="91"/>
      <c r="J36" s="55" t="str">
        <f>IF('6 Standards'!K72=0,"",'6 Standards'!K72)</f>
        <v>GREATER than Standard 5, outside of quantifiable range</v>
      </c>
    </row>
    <row r="37" spans="1:10" x14ac:dyDescent="0.3">
      <c r="A37" s="176"/>
      <c r="B37" s="55" t="str">
        <f>IF(ISBLANK('6 Standards'!B73),"No Sample Entered",'6 Standards'!B73)</f>
        <v>Causeway_T</v>
      </c>
      <c r="C37" s="60" t="str">
        <f>IF(ISBLANK('6 Standards'!C73),"No Date",TEXT('6 Standards'!C73,"mm/dd/yyyy"))</f>
        <v>No Date</v>
      </c>
      <c r="D37" s="60" t="str">
        <f>IF(ISBLANK('6 Standards'!D73),"No type entered",'6 Standards'!D73)</f>
        <v>Total</v>
      </c>
      <c r="E37" s="55">
        <v>2</v>
      </c>
      <c r="F37" s="94" t="str">
        <f>'6 Standards'!H73</f>
        <v>Invalid</v>
      </c>
      <c r="G37" s="55">
        <v>1</v>
      </c>
      <c r="H37" s="95" t="str">
        <f t="shared" si="0"/>
        <v>Error</v>
      </c>
      <c r="I37" s="56" t="str">
        <f t="shared" ref="I37" si="16">IFERROR(AVERAGE(H36:H37),"Error")</f>
        <v>Error</v>
      </c>
      <c r="J37" s="55" t="str">
        <f>IF('6 Standards'!K73=0,"",'6 Standards'!K73)</f>
        <v/>
      </c>
    </row>
    <row r="38" spans="1:10" x14ac:dyDescent="0.3">
      <c r="A38" s="176">
        <v>19</v>
      </c>
      <c r="B38" s="57" t="str">
        <f>IF(ISBLANK('6 Standards'!B74),"No Sample Entered",'6 Standards'!B74)</f>
        <v>Causeway_D</v>
      </c>
      <c r="C38" s="58" t="str">
        <f>IF(ISBLANK('6 Standards'!C74),"No Date",TEXT('6 Standards'!C74,"mm/dd/yyyy"))</f>
        <v>No Date</v>
      </c>
      <c r="D38" s="58" t="str">
        <f>IF(ISBLANK('6 Standards'!D74),"No type entered",'6 Standards'!D74)</f>
        <v>Dissolved</v>
      </c>
      <c r="E38" s="57">
        <v>1</v>
      </c>
      <c r="F38" s="93" t="str">
        <f>'6 Standards'!H74</f>
        <v>Invalid</v>
      </c>
      <c r="G38" s="57">
        <v>1</v>
      </c>
      <c r="H38" s="93" t="str">
        <f t="shared" si="0"/>
        <v>Error</v>
      </c>
      <c r="I38" s="59"/>
      <c r="J38" s="55" t="str">
        <f>IF('6 Standards'!K74=0,"",'6 Standards'!K74)</f>
        <v>GREATER than Standard 5, outside of quantifiable range</v>
      </c>
    </row>
    <row r="39" spans="1:10" x14ac:dyDescent="0.3">
      <c r="A39" s="176"/>
      <c r="B39" s="57" t="str">
        <f>IF(ISBLANK('6 Standards'!B75),"No Sample Entered",'6 Standards'!B75)</f>
        <v>Causeway_D</v>
      </c>
      <c r="C39" s="58" t="str">
        <f>IF(ISBLANK('6 Standards'!C75),"No Date",TEXT('6 Standards'!C75,"mm/dd/yyyy"))</f>
        <v>No Date</v>
      </c>
      <c r="D39" s="58" t="str">
        <f>IF(ISBLANK('6 Standards'!D75),"No type entered",'6 Standards'!D75)</f>
        <v>Dissolved</v>
      </c>
      <c r="E39" s="57">
        <v>2</v>
      </c>
      <c r="F39" s="93" t="str">
        <f>'6 Standards'!H75</f>
        <v>Invalid</v>
      </c>
      <c r="G39" s="57">
        <v>1</v>
      </c>
      <c r="H39" s="93" t="str">
        <f t="shared" si="0"/>
        <v>Error</v>
      </c>
      <c r="I39" s="59" t="str">
        <f t="shared" ref="I39" si="17">IFERROR(AVERAGE(H38:H39),"Error")</f>
        <v>Error</v>
      </c>
      <c r="J39" s="55" t="str">
        <f>IF('6 Standards'!K75=0,"",'6 Standards'!K75)</f>
        <v/>
      </c>
    </row>
    <row r="40" spans="1:10" x14ac:dyDescent="0.3">
      <c r="A40" s="176">
        <v>20</v>
      </c>
      <c r="B40" s="89" t="str">
        <f>IF(ISBLANK('6 Standards'!B76),"No Sample Entered",'6 Standards'!B76)</f>
        <v>Bells_T</v>
      </c>
      <c r="C40" s="90" t="str">
        <f>IF(ISBLANK('6 Standards'!C76),"No Date",TEXT('6 Standards'!C76,"mm/dd/yyyy"))</f>
        <v>No Date</v>
      </c>
      <c r="D40" s="90" t="str">
        <f>IF(ISBLANK('6 Standards'!D76),"No type entered",'6 Standards'!D76)</f>
        <v>Total</v>
      </c>
      <c r="E40" s="89">
        <v>1</v>
      </c>
      <c r="F40" s="94" t="str">
        <f>'6 Standards'!H76</f>
        <v>Invalid</v>
      </c>
      <c r="G40" s="89">
        <v>1</v>
      </c>
      <c r="H40" s="94" t="str">
        <f t="shared" si="0"/>
        <v>Error</v>
      </c>
      <c r="I40" s="91"/>
      <c r="J40" s="55" t="str">
        <f>IF('6 Standards'!K76=0,"",'6 Standards'!K76)</f>
        <v>GREATER than Standard 5, outside of quantifiable range</v>
      </c>
    </row>
    <row r="41" spans="1:10" x14ac:dyDescent="0.3">
      <c r="A41" s="176"/>
      <c r="B41" s="55" t="str">
        <f>IF(ISBLANK('6 Standards'!B77),"No Sample Entered",'6 Standards'!B77)</f>
        <v>Bells_T</v>
      </c>
      <c r="C41" s="60" t="str">
        <f>IF(ISBLANK('6 Standards'!C77),"No Date",TEXT('6 Standards'!C77,"mm/dd/yyyy"))</f>
        <v>No Date</v>
      </c>
      <c r="D41" s="60" t="str">
        <f>IF(ISBLANK('6 Standards'!D77),"No type entered",'6 Standards'!D77)</f>
        <v>Total</v>
      </c>
      <c r="E41" s="55">
        <v>2</v>
      </c>
      <c r="F41" s="94" t="str">
        <f>'6 Standards'!H77</f>
        <v>Invalid</v>
      </c>
      <c r="G41" s="55">
        <v>1</v>
      </c>
      <c r="H41" s="95" t="str">
        <f t="shared" si="0"/>
        <v>Error</v>
      </c>
      <c r="I41" s="56" t="str">
        <f t="shared" ref="I41" si="18">IFERROR(AVERAGE(H40:H41),"Error")</f>
        <v>Error</v>
      </c>
      <c r="J41" s="55" t="str">
        <f>IF('6 Standards'!K77=0,"",'6 Standards'!K77)</f>
        <v/>
      </c>
    </row>
    <row r="42" spans="1:10" x14ac:dyDescent="0.3">
      <c r="A42" s="176">
        <v>21</v>
      </c>
      <c r="B42" s="57" t="str">
        <f>IF(ISBLANK('6 Standards'!B78),"No Sample Entered",'6 Standards'!B78)</f>
        <v>Bells_D</v>
      </c>
      <c r="C42" s="58" t="str">
        <f>IF(ISBLANK('6 Standards'!C78),"No Date",TEXT('6 Standards'!C78,"mm/dd/yyyy"))</f>
        <v>No Date</v>
      </c>
      <c r="D42" s="58" t="str">
        <f>IF(ISBLANK('6 Standards'!D78),"No type entered",'6 Standards'!D78)</f>
        <v>Dissolved</v>
      </c>
      <c r="E42" s="57">
        <v>1</v>
      </c>
      <c r="F42" s="93" t="str">
        <f>'6 Standards'!H78</f>
        <v>Invalid</v>
      </c>
      <c r="G42" s="57">
        <v>1</v>
      </c>
      <c r="H42" s="93" t="str">
        <f t="shared" si="0"/>
        <v>Error</v>
      </c>
      <c r="I42" s="59"/>
      <c r="J42" s="55" t="str">
        <f>IF('6 Standards'!K78=0,"",'6 Standards'!K78)</f>
        <v>GREATER than Standard 5, outside of quantifiable range</v>
      </c>
    </row>
    <row r="43" spans="1:10" x14ac:dyDescent="0.3">
      <c r="A43" s="176"/>
      <c r="B43" s="57" t="str">
        <f>IF(ISBLANK('6 Standards'!B79),"No Sample Entered",'6 Standards'!B79)</f>
        <v>Bells_D</v>
      </c>
      <c r="C43" s="58" t="str">
        <f>IF(ISBLANK('6 Standards'!C79),"No Date",TEXT('6 Standards'!C79,"mm/dd/yyyy"))</f>
        <v>No Date</v>
      </c>
      <c r="D43" s="58" t="str">
        <f>IF(ISBLANK('6 Standards'!D79),"No type entered",'6 Standards'!D79)</f>
        <v>Dissolved</v>
      </c>
      <c r="E43" s="57">
        <v>2</v>
      </c>
      <c r="F43" s="93" t="str">
        <f>'6 Standards'!H79</f>
        <v>Invalid</v>
      </c>
      <c r="G43" s="57">
        <v>1</v>
      </c>
      <c r="H43" s="93" t="str">
        <f t="shared" si="0"/>
        <v>Error</v>
      </c>
      <c r="I43" s="59" t="str">
        <f t="shared" ref="I43" si="19">IFERROR(AVERAGE(H42:H43),"Error")</f>
        <v>Error</v>
      </c>
      <c r="J43" s="55" t="str">
        <f>IF('6 Standards'!K79=0,"",'6 Standards'!K79)</f>
        <v/>
      </c>
    </row>
    <row r="44" spans="1:10" x14ac:dyDescent="0.3">
      <c r="A44" s="176">
        <v>22</v>
      </c>
      <c r="B44" s="89" t="str">
        <f>IF(ISBLANK('6 Standards'!B80),"No Sample Entered",'6 Standards'!B80)</f>
        <v>Muddy_Creek_T</v>
      </c>
      <c r="C44" s="90" t="str">
        <f>IF(ISBLANK('6 Standards'!C80),"No Date",TEXT('6 Standards'!C80,"mm/dd/yyyy"))</f>
        <v>No Date</v>
      </c>
      <c r="D44" s="90" t="str">
        <f>IF(ISBLANK('6 Standards'!D80),"No type entered",'6 Standards'!D80)</f>
        <v>Total</v>
      </c>
      <c r="E44" s="89">
        <v>1</v>
      </c>
      <c r="F44" s="94" t="str">
        <f>'6 Standards'!H80</f>
        <v>Invalid</v>
      </c>
      <c r="G44" s="89">
        <v>1</v>
      </c>
      <c r="H44" s="94" t="str">
        <f t="shared" si="0"/>
        <v>Error</v>
      </c>
      <c r="I44" s="91"/>
      <c r="J44" s="55" t="str">
        <f>IF('6 Standards'!K80=0,"",'6 Standards'!K80)</f>
        <v>GREATER than Standard 5, outside of quantifiable range</v>
      </c>
    </row>
    <row r="45" spans="1:10" x14ac:dyDescent="0.3">
      <c r="A45" s="176"/>
      <c r="B45" s="55" t="str">
        <f>IF(ISBLANK('6 Standards'!B81),"No Sample Entered",'6 Standards'!B81)</f>
        <v>Muddy_Creek_T</v>
      </c>
      <c r="C45" s="60" t="str">
        <f>IF(ISBLANK('6 Standards'!C81),"No Date",TEXT('6 Standards'!C81,"mm/dd/yyyy"))</f>
        <v>No Date</v>
      </c>
      <c r="D45" s="60" t="str">
        <f>IF(ISBLANK('6 Standards'!D81),"No type entered",'6 Standards'!D81)</f>
        <v>Total</v>
      </c>
      <c r="E45" s="55">
        <v>2</v>
      </c>
      <c r="F45" s="94" t="str">
        <f>'6 Standards'!H81</f>
        <v>Invalid</v>
      </c>
      <c r="G45" s="55">
        <v>1</v>
      </c>
      <c r="H45" s="95" t="str">
        <f t="shared" si="0"/>
        <v>Error</v>
      </c>
      <c r="I45" s="56" t="str">
        <f t="shared" ref="I45" si="20">IFERROR(AVERAGE(H44:H45),"Error")</f>
        <v>Error</v>
      </c>
      <c r="J45" s="55" t="str">
        <f>IF('6 Standards'!K81=0,"",'6 Standards'!K81)</f>
        <v/>
      </c>
    </row>
    <row r="46" spans="1:10" x14ac:dyDescent="0.3">
      <c r="A46" s="176">
        <v>23</v>
      </c>
      <c r="B46" s="57" t="str">
        <f>IF(ISBLANK('6 Standards'!B82),"No Sample Entered",'6 Standards'!B82)</f>
        <v>Muddy_Creek_D</v>
      </c>
      <c r="C46" s="58" t="str">
        <f>IF(ISBLANK('6 Standards'!C82),"No Date",TEXT('6 Standards'!C82,"mm/dd/yyyy"))</f>
        <v>No Date</v>
      </c>
      <c r="D46" s="58" t="str">
        <f>IF(ISBLANK('6 Standards'!D82),"No type entered",'6 Standards'!D82)</f>
        <v>Dissolved</v>
      </c>
      <c r="E46" s="57">
        <v>1</v>
      </c>
      <c r="F46" s="93" t="str">
        <f>'6 Standards'!H82</f>
        <v>Invalid</v>
      </c>
      <c r="G46" s="57">
        <v>1</v>
      </c>
      <c r="H46" s="93" t="str">
        <f t="shared" si="0"/>
        <v>Error</v>
      </c>
      <c r="I46" s="59"/>
      <c r="J46" s="55" t="str">
        <f>IF('6 Standards'!K82=0,"",'6 Standards'!K82)</f>
        <v>GREATER than Standard 5, outside of quantifiable range</v>
      </c>
    </row>
    <row r="47" spans="1:10" x14ac:dyDescent="0.3">
      <c r="A47" s="176"/>
      <c r="B47" s="57" t="str">
        <f>IF(ISBLANK('6 Standards'!B83),"No Sample Entered",'6 Standards'!B83)</f>
        <v>Muddy_Creek_D</v>
      </c>
      <c r="C47" s="58" t="str">
        <f>IF(ISBLANK('6 Standards'!C83),"No Date",TEXT('6 Standards'!C83,"mm/dd/yyyy"))</f>
        <v>No Date</v>
      </c>
      <c r="D47" s="58" t="str">
        <f>IF(ISBLANK('6 Standards'!D83),"No type entered",'6 Standards'!D83)</f>
        <v>Dissolved</v>
      </c>
      <c r="E47" s="57">
        <v>2</v>
      </c>
      <c r="F47" s="93" t="str">
        <f>'6 Standards'!H83</f>
        <v>Invalid</v>
      </c>
      <c r="G47" s="57">
        <v>1</v>
      </c>
      <c r="H47" s="93" t="str">
        <f t="shared" si="0"/>
        <v>Error</v>
      </c>
      <c r="I47" s="59" t="str">
        <f t="shared" ref="I47" si="21">IFERROR(AVERAGE(H46:H47),"Error")</f>
        <v>Error</v>
      </c>
      <c r="J47" s="55" t="str">
        <f>IF('6 Standards'!K83=0,"",'6 Standards'!K83)</f>
        <v/>
      </c>
    </row>
    <row r="48" spans="1:10" x14ac:dyDescent="0.3">
      <c r="A48" s="176">
        <v>24</v>
      </c>
      <c r="B48" s="89" t="str">
        <f>IF(ISBLANK('6 Standards'!B84),"No Sample Entered",'6 Standards'!B84)</f>
        <v>ODNR_4_T</v>
      </c>
      <c r="C48" s="90" t="str">
        <f>IF(ISBLANK('6 Standards'!C84),"No Date",TEXT('6 Standards'!C84,"mm/dd/yyyy"))</f>
        <v>No Date</v>
      </c>
      <c r="D48" s="90" t="str">
        <f>IF(ISBLANK('6 Standards'!D84),"No type entered",'6 Standards'!D84)</f>
        <v>Total</v>
      </c>
      <c r="E48" s="89">
        <v>1</v>
      </c>
      <c r="F48" s="94" t="str">
        <f>'6 Standards'!H84</f>
        <v>Invalid</v>
      </c>
      <c r="G48" s="89">
        <v>1</v>
      </c>
      <c r="H48" s="94" t="str">
        <f t="shared" si="0"/>
        <v>Error</v>
      </c>
      <c r="I48" s="91"/>
      <c r="J48" s="55" t="str">
        <f>IF('6 Standards'!K84=0,"",'6 Standards'!K84)</f>
        <v>GREATER than Standard 5, outside of quantifiable range</v>
      </c>
    </row>
    <row r="49" spans="1:10" x14ac:dyDescent="0.3">
      <c r="A49" s="176"/>
      <c r="B49" s="55" t="str">
        <f>IF(ISBLANK('6 Standards'!B85),"No Sample Entered",'6 Standards'!B85)</f>
        <v>ODNR_4_T</v>
      </c>
      <c r="C49" s="60" t="str">
        <f>IF(ISBLANK('6 Standards'!C85),"No Date",TEXT('6 Standards'!C85,"mm/dd/yyyy"))</f>
        <v>No Date</v>
      </c>
      <c r="D49" s="60" t="str">
        <f>IF(ISBLANK('6 Standards'!D85),"No type entered",'6 Standards'!D85)</f>
        <v>Total</v>
      </c>
      <c r="E49" s="55">
        <v>2</v>
      </c>
      <c r="F49" s="94" t="str">
        <f>'6 Standards'!H85</f>
        <v>Invalid</v>
      </c>
      <c r="G49" s="55">
        <v>1</v>
      </c>
      <c r="H49" s="95" t="str">
        <f t="shared" si="0"/>
        <v>Error</v>
      </c>
      <c r="I49" s="56" t="str">
        <f t="shared" ref="I49" si="22">IFERROR(AVERAGE(H48:H49),"Error")</f>
        <v>Error</v>
      </c>
      <c r="J49" s="55" t="str">
        <f>IF('6 Standards'!K85=0,"",'6 Standards'!K85)</f>
        <v/>
      </c>
    </row>
    <row r="50" spans="1:10" x14ac:dyDescent="0.3">
      <c r="A50" s="176">
        <v>25</v>
      </c>
      <c r="B50" s="57" t="str">
        <f>IF(ISBLANK('6 Standards'!B86),"No Sample Entered",'6 Standards'!B86)</f>
        <v>ODNR_4_D</v>
      </c>
      <c r="C50" s="58" t="str">
        <f>IF(ISBLANK('6 Standards'!C86),"No Date",TEXT('6 Standards'!C86,"mm/dd/yyyy"))</f>
        <v>No Date</v>
      </c>
      <c r="D50" s="58" t="str">
        <f>IF(ISBLANK('6 Standards'!D86),"No type entered",'6 Standards'!D86)</f>
        <v>Dissolved</v>
      </c>
      <c r="E50" s="57">
        <v>1</v>
      </c>
      <c r="F50" s="93" t="str">
        <f>'6 Standards'!H86</f>
        <v>Invalid</v>
      </c>
      <c r="G50" s="57">
        <v>1</v>
      </c>
      <c r="H50" s="93" t="str">
        <f t="shared" si="0"/>
        <v>Error</v>
      </c>
      <c r="I50" s="59"/>
      <c r="J50" s="55" t="str">
        <f>IF('6 Standards'!K86=0,"",'6 Standards'!K86)</f>
        <v>GREATER than Standard 5, outside of quantifiable range</v>
      </c>
    </row>
    <row r="51" spans="1:10" x14ac:dyDescent="0.3">
      <c r="A51" s="176"/>
      <c r="B51" s="57" t="str">
        <f>IF(ISBLANK('6 Standards'!B87),"No Sample Entered",'6 Standards'!B87)</f>
        <v>ODNR_4_D</v>
      </c>
      <c r="C51" s="58" t="str">
        <f>IF(ISBLANK('6 Standards'!C87),"No Date",TEXT('6 Standards'!C87,"mm/dd/yyyy"))</f>
        <v>No Date</v>
      </c>
      <c r="D51" s="58" t="str">
        <f>IF(ISBLANK('6 Standards'!D87),"No type entered",'6 Standards'!D87)</f>
        <v>Dissolved</v>
      </c>
      <c r="E51" s="57">
        <v>2</v>
      </c>
      <c r="F51" s="93" t="str">
        <f>'6 Standards'!H87</f>
        <v>Invalid</v>
      </c>
      <c r="G51" s="57">
        <v>1</v>
      </c>
      <c r="H51" s="93" t="str">
        <f t="shared" si="0"/>
        <v>Error</v>
      </c>
      <c r="I51" s="59" t="str">
        <f t="shared" ref="I51" si="23">IFERROR(AVERAGE(H50:H51),"Error")</f>
        <v>Error</v>
      </c>
      <c r="J51" s="55" t="str">
        <f>IF('6 Standards'!K87=0,"",'6 Standards'!K87)</f>
        <v/>
      </c>
    </row>
    <row r="52" spans="1:10" x14ac:dyDescent="0.3">
      <c r="A52" s="176">
        <v>26</v>
      </c>
      <c r="B52" s="89" t="str">
        <f>IF(ISBLANK('6 Standards'!B88),"No Sample Entered",'6 Standards'!B88)</f>
        <v>ODNR_6_T</v>
      </c>
      <c r="C52" s="90" t="str">
        <f>IF(ISBLANK('6 Standards'!C88),"No Date",TEXT('6 Standards'!C88,"mm/dd/yyyy"))</f>
        <v>No Date</v>
      </c>
      <c r="D52" s="90" t="str">
        <f>IF(ISBLANK('6 Standards'!D88),"No type entered",'6 Standards'!D88)</f>
        <v>Total</v>
      </c>
      <c r="E52" s="89">
        <v>1</v>
      </c>
      <c r="F52" s="94" t="str">
        <f>'6 Standards'!H88</f>
        <v>Invalid</v>
      </c>
      <c r="G52" s="89">
        <v>1</v>
      </c>
      <c r="H52" s="94" t="str">
        <f t="shared" si="0"/>
        <v>Error</v>
      </c>
      <c r="I52" s="91"/>
      <c r="J52" s="55" t="str">
        <f>IF('6 Standards'!K88=0,"",'6 Standards'!K88)</f>
        <v>GREATER than Standard 5, outside of quantifiable range</v>
      </c>
    </row>
    <row r="53" spans="1:10" x14ac:dyDescent="0.3">
      <c r="A53" s="176"/>
      <c r="B53" s="55" t="str">
        <f>IF(ISBLANK('6 Standards'!B89),"No Sample Entered",'6 Standards'!B89)</f>
        <v>ODNR_6_T</v>
      </c>
      <c r="C53" s="60" t="str">
        <f>IF(ISBLANK('6 Standards'!C89),"No Date",TEXT('6 Standards'!C89,"mm/dd/yyyy"))</f>
        <v>No Date</v>
      </c>
      <c r="D53" s="60" t="str">
        <f>IF(ISBLANK('6 Standards'!D89),"No type entered",'6 Standards'!D89)</f>
        <v>Total</v>
      </c>
      <c r="E53" s="55">
        <v>2</v>
      </c>
      <c r="F53" s="94" t="str">
        <f>'6 Standards'!H89</f>
        <v>Invalid</v>
      </c>
      <c r="G53" s="55">
        <v>1</v>
      </c>
      <c r="H53" s="95" t="str">
        <f t="shared" si="0"/>
        <v>Error</v>
      </c>
      <c r="I53" s="56" t="str">
        <f t="shared" ref="I53" si="24">IFERROR(AVERAGE(H52:H53),"Error")</f>
        <v>Error</v>
      </c>
      <c r="J53" s="55" t="str">
        <f>IF('6 Standards'!K89=0,"",'6 Standards'!K89)</f>
        <v/>
      </c>
    </row>
    <row r="54" spans="1:10" x14ac:dyDescent="0.3">
      <c r="A54" s="176">
        <v>27</v>
      </c>
      <c r="B54" s="57" t="str">
        <f>IF(ISBLANK('6 Standards'!B90),"No Sample Entered",'6 Standards'!B90)</f>
        <v>ODNR_6_D</v>
      </c>
      <c r="C54" s="58" t="str">
        <f>IF(ISBLANK('6 Standards'!C90),"No Date",TEXT('6 Standards'!C90,"mm/dd/yyyy"))</f>
        <v>No Date</v>
      </c>
      <c r="D54" s="58" t="str">
        <f>IF(ISBLANK('6 Standards'!D90),"No type entered",'6 Standards'!D90)</f>
        <v>Dissolved</v>
      </c>
      <c r="E54" s="57">
        <v>1</v>
      </c>
      <c r="F54" s="93" t="str">
        <f>'6 Standards'!H90</f>
        <v>Invalid</v>
      </c>
      <c r="G54" s="57">
        <v>1</v>
      </c>
      <c r="H54" s="93" t="str">
        <f t="shared" si="0"/>
        <v>Error</v>
      </c>
      <c r="I54" s="59"/>
      <c r="J54" s="55" t="str">
        <f>IF('6 Standards'!K90=0,"",'6 Standards'!K90)</f>
        <v>GREATER than Standard 5, outside of quantifiable range</v>
      </c>
    </row>
    <row r="55" spans="1:10" x14ac:dyDescent="0.3">
      <c r="A55" s="176"/>
      <c r="B55" s="57" t="str">
        <f>IF(ISBLANK('6 Standards'!B91),"No Sample Entered",'6 Standards'!B91)</f>
        <v>ODNR_6_D</v>
      </c>
      <c r="C55" s="58" t="str">
        <f>IF(ISBLANK('6 Standards'!C91),"No Date",TEXT('6 Standards'!C91,"mm/dd/yyyy"))</f>
        <v>No Date</v>
      </c>
      <c r="D55" s="58" t="str">
        <f>IF(ISBLANK('6 Standards'!D91),"No type entered",'6 Standards'!D91)</f>
        <v>Dissolved</v>
      </c>
      <c r="E55" s="57">
        <v>2</v>
      </c>
      <c r="F55" s="93" t="str">
        <f>'6 Standards'!H91</f>
        <v>Invalid</v>
      </c>
      <c r="G55" s="57">
        <v>1</v>
      </c>
      <c r="H55" s="93" t="str">
        <f t="shared" si="0"/>
        <v>Error</v>
      </c>
      <c r="I55" s="59" t="str">
        <f t="shared" ref="I55" si="25">IFERROR(AVERAGE(H54:H55),"Error")</f>
        <v>Error</v>
      </c>
      <c r="J55" s="55" t="str">
        <f>IF('6 Standards'!K91=0,"",'6 Standards'!K91)</f>
        <v/>
      </c>
    </row>
    <row r="56" spans="1:10" x14ac:dyDescent="0.3">
      <c r="A56" s="176">
        <v>28</v>
      </c>
      <c r="B56" s="89" t="str">
        <f>IF(ISBLANK('6 Standards'!B92),"No Sample Entered",'6 Standards'!B92)</f>
        <v>Bridge_T</v>
      </c>
      <c r="C56" s="90" t="str">
        <f>IF(ISBLANK('6 Standards'!C92),"No Date",TEXT('6 Standards'!C92,"mm/dd/yyyy"))</f>
        <v>No Date</v>
      </c>
      <c r="D56" s="90" t="str">
        <f>IF(ISBLANK('6 Standards'!D92),"No type entered",'6 Standards'!D92)</f>
        <v>Total</v>
      </c>
      <c r="E56" s="89">
        <v>1</v>
      </c>
      <c r="F56" s="94" t="str">
        <f>'6 Standards'!H92</f>
        <v>Invalid</v>
      </c>
      <c r="G56" s="89">
        <v>1</v>
      </c>
      <c r="H56" s="94" t="str">
        <f t="shared" si="0"/>
        <v>Error</v>
      </c>
      <c r="I56" s="91"/>
      <c r="J56" s="55" t="str">
        <f>IF('6 Standards'!K92=0,"",'6 Standards'!K92)</f>
        <v>GREATER than Standard 5, outside of quantifiable range</v>
      </c>
    </row>
    <row r="57" spans="1:10" x14ac:dyDescent="0.3">
      <c r="A57" s="176"/>
      <c r="B57" s="55" t="str">
        <f>IF(ISBLANK('6 Standards'!B93),"No Sample Entered",'6 Standards'!B93)</f>
        <v>Bridge_T</v>
      </c>
      <c r="C57" s="60" t="str">
        <f>IF(ISBLANK('6 Standards'!C93),"No Date",TEXT('6 Standards'!C93,"mm/dd/yyyy"))</f>
        <v>No Date</v>
      </c>
      <c r="D57" s="60" t="str">
        <f>IF(ISBLANK('6 Standards'!D93),"No type entered",'6 Standards'!D93)</f>
        <v>Total</v>
      </c>
      <c r="E57" s="55">
        <v>2</v>
      </c>
      <c r="F57" s="94" t="str">
        <f>'6 Standards'!H93</f>
        <v>Invalid</v>
      </c>
      <c r="G57" s="55">
        <v>1</v>
      </c>
      <c r="H57" s="95" t="str">
        <f t="shared" si="0"/>
        <v>Error</v>
      </c>
      <c r="I57" s="56" t="str">
        <f t="shared" ref="I57" si="26">IFERROR(AVERAGE(H56:H57),"Error")</f>
        <v>Error</v>
      </c>
      <c r="J57" s="55" t="str">
        <f>IF('6 Standards'!K93=0,"",'6 Standards'!K93)</f>
        <v/>
      </c>
    </row>
    <row r="58" spans="1:10" x14ac:dyDescent="0.3">
      <c r="A58" s="176">
        <v>29</v>
      </c>
      <c r="B58" s="57" t="str">
        <f>IF(ISBLANK('6 Standards'!B94),"No Sample Entered",'6 Standards'!B94)</f>
        <v>Bridge_D</v>
      </c>
      <c r="C58" s="58" t="str">
        <f>IF(ISBLANK('6 Standards'!C94),"No Date",TEXT('6 Standards'!C94,"mm/dd/yyyy"))</f>
        <v>No Date</v>
      </c>
      <c r="D58" s="58" t="str">
        <f>IF(ISBLANK('6 Standards'!D94),"No type entered",'6 Standards'!D94)</f>
        <v>Dissolved</v>
      </c>
      <c r="E58" s="57">
        <v>1</v>
      </c>
      <c r="F58" s="93" t="str">
        <f>'6 Standards'!H94</f>
        <v>Invalid</v>
      </c>
      <c r="G58" s="57">
        <v>1</v>
      </c>
      <c r="H58" s="93" t="str">
        <f t="shared" si="0"/>
        <v>Error</v>
      </c>
      <c r="I58" s="59"/>
      <c r="J58" s="55" t="str">
        <f>IF('6 Standards'!K94=0,"",'6 Standards'!K94)</f>
        <v>GREATER than Standard 5, outside of quantifiable range</v>
      </c>
    </row>
    <row r="59" spans="1:10" x14ac:dyDescent="0.3">
      <c r="A59" s="176"/>
      <c r="B59" s="57" t="str">
        <f>IF(ISBLANK('6 Standards'!B95),"No Sample Entered",'6 Standards'!B95)</f>
        <v>Bridge_D</v>
      </c>
      <c r="C59" s="58" t="str">
        <f>IF(ISBLANK('6 Standards'!C95),"No Date",TEXT('6 Standards'!C95,"mm/dd/yyyy"))</f>
        <v>No Date</v>
      </c>
      <c r="D59" s="58" t="str">
        <f>IF(ISBLANK('6 Standards'!D95),"No type entered",'6 Standards'!D95)</f>
        <v>Dissolved</v>
      </c>
      <c r="E59" s="57">
        <v>2</v>
      </c>
      <c r="F59" s="93" t="str">
        <f>'6 Standards'!H95</f>
        <v>Invalid</v>
      </c>
      <c r="G59" s="57">
        <v>1</v>
      </c>
      <c r="H59" s="93" t="str">
        <f t="shared" si="0"/>
        <v>Error</v>
      </c>
      <c r="I59" s="59" t="str">
        <f t="shared" ref="I59" si="27">IFERROR(AVERAGE(H58:H59),"Error")</f>
        <v>Error</v>
      </c>
      <c r="J59" s="55" t="str">
        <f>IF('6 Standards'!K95=0,"",'6 Standards'!K95)</f>
        <v/>
      </c>
    </row>
    <row r="60" spans="1:10" x14ac:dyDescent="0.3">
      <c r="A60" s="176">
        <v>30</v>
      </c>
      <c r="B60" s="89" t="str">
        <f>IF(ISBLANK('6 Standards'!B96),"No Sample Entered",'6 Standards'!B96)</f>
        <v>ODNR_2_T</v>
      </c>
      <c r="C60" s="90" t="str">
        <f>IF(ISBLANK('6 Standards'!C96),"No Date",TEXT('6 Standards'!C96,"mm/dd/yyyy"))</f>
        <v>No Date</v>
      </c>
      <c r="D60" s="90" t="str">
        <f>IF(ISBLANK('6 Standards'!D96),"No type entered",'6 Standards'!D96)</f>
        <v>Total</v>
      </c>
      <c r="E60" s="89">
        <v>1</v>
      </c>
      <c r="F60" s="94" t="str">
        <f>'6 Standards'!H96</f>
        <v>Invalid</v>
      </c>
      <c r="G60" s="89">
        <v>1</v>
      </c>
      <c r="H60" s="94" t="str">
        <f t="shared" si="0"/>
        <v>Error</v>
      </c>
      <c r="I60" s="91"/>
      <c r="J60" s="55" t="str">
        <f>IF('6 Standards'!K96=0,"",'6 Standards'!K96)</f>
        <v>GREATER than Standard 5, outside of quantifiable range</v>
      </c>
    </row>
    <row r="61" spans="1:10" x14ac:dyDescent="0.3">
      <c r="A61" s="176"/>
      <c r="B61" s="55" t="str">
        <f>IF(ISBLANK('6 Standards'!B97),"No Sample Entered",'6 Standards'!B97)</f>
        <v>ODNR_2_T</v>
      </c>
      <c r="C61" s="60" t="str">
        <f>IF(ISBLANK('6 Standards'!C97),"No Date",TEXT('6 Standards'!C97,"mm/dd/yyyy"))</f>
        <v>No Date</v>
      </c>
      <c r="D61" s="60" t="str">
        <f>IF(ISBLANK('6 Standards'!D97),"No type entered",'6 Standards'!D97)</f>
        <v>Total</v>
      </c>
      <c r="E61" s="55">
        <v>2</v>
      </c>
      <c r="F61" s="94" t="str">
        <f>'6 Standards'!H97</f>
        <v>Invalid</v>
      </c>
      <c r="G61" s="55">
        <v>1</v>
      </c>
      <c r="H61" s="95" t="str">
        <f t="shared" si="0"/>
        <v>Error</v>
      </c>
      <c r="I61" s="56" t="str">
        <f t="shared" ref="I61" si="28">IFERROR(AVERAGE(H60:H61),"Error")</f>
        <v>Error</v>
      </c>
      <c r="J61" s="55" t="str">
        <f>IF('6 Standards'!K97=0,"",'6 Standards'!K97)</f>
        <v/>
      </c>
    </row>
    <row r="62" spans="1:10" x14ac:dyDescent="0.3">
      <c r="A62" s="176">
        <v>31</v>
      </c>
      <c r="B62" s="57" t="str">
        <f>IF(ISBLANK('6 Standards'!B98),"No Sample Entered",'6 Standards'!B98)</f>
        <v>ODNR_2_D</v>
      </c>
      <c r="C62" s="58" t="str">
        <f>IF(ISBLANK('6 Standards'!C98),"No Date",TEXT('6 Standards'!C98,"mm/dd/yyyy"))</f>
        <v>No Date</v>
      </c>
      <c r="D62" s="58" t="str">
        <f>IF(ISBLANK('6 Standards'!D98),"No type entered",'6 Standards'!D98)</f>
        <v>Dissolved</v>
      </c>
      <c r="E62" s="57">
        <v>1</v>
      </c>
      <c r="F62" s="93" t="str">
        <f>'6 Standards'!H98</f>
        <v>Invalid</v>
      </c>
      <c r="G62" s="57">
        <v>1</v>
      </c>
      <c r="H62" s="93" t="str">
        <f t="shared" si="0"/>
        <v>Error</v>
      </c>
      <c r="I62" s="59"/>
      <c r="J62" s="55" t="str">
        <f>IF('6 Standards'!K98=0,"",'6 Standards'!K98)</f>
        <v>GREATER than Standard 5, outside of quantifiable range</v>
      </c>
    </row>
    <row r="63" spans="1:10" x14ac:dyDescent="0.3">
      <c r="A63" s="176"/>
      <c r="B63" s="57" t="str">
        <f>IF(ISBLANK('6 Standards'!B99),"No Sample Entered",'6 Standards'!B99)</f>
        <v>ODNR_2_D</v>
      </c>
      <c r="C63" s="58" t="str">
        <f>IF(ISBLANK('6 Standards'!C99),"No Date",TEXT('6 Standards'!C99,"mm/dd/yyyy"))</f>
        <v>No Date</v>
      </c>
      <c r="D63" s="58" t="str">
        <f>IF(ISBLANK('6 Standards'!D99),"No type entered",'6 Standards'!D99)</f>
        <v>Dissolved</v>
      </c>
      <c r="E63" s="57">
        <v>2</v>
      </c>
      <c r="F63" s="93" t="str">
        <f>'6 Standards'!H99</f>
        <v>Invalid</v>
      </c>
      <c r="G63" s="57">
        <v>1</v>
      </c>
      <c r="H63" s="93" t="str">
        <f t="shared" si="0"/>
        <v>Error</v>
      </c>
      <c r="I63" s="59" t="str">
        <f t="shared" ref="I63" si="29">IFERROR(AVERAGE(H62:H63),"Error")</f>
        <v>Error</v>
      </c>
      <c r="J63" s="55" t="str">
        <f>IF('6 Standards'!K99=0,"",'6 Standards'!K99)</f>
        <v/>
      </c>
    </row>
    <row r="64" spans="1:10" x14ac:dyDescent="0.3">
      <c r="A64" s="176">
        <v>32</v>
      </c>
      <c r="B64" s="89" t="str">
        <f>IF(ISBLANK('6 Standards'!B100),"No Sample Entered",'6 Standards'!B100)</f>
        <v>Buoy_2_T</v>
      </c>
      <c r="C64" s="90" t="str">
        <f>IF(ISBLANK('6 Standards'!C100),"No Date",TEXT('6 Standards'!C100,"mm/dd/yyyy"))</f>
        <v>No Date</v>
      </c>
      <c r="D64" s="90" t="str">
        <f>IF(ISBLANK('6 Standards'!D100),"No type entered",'6 Standards'!D100)</f>
        <v>Total</v>
      </c>
      <c r="E64" s="89">
        <v>1</v>
      </c>
      <c r="F64" s="94" t="str">
        <f>'6 Standards'!H100</f>
        <v>Invalid</v>
      </c>
      <c r="G64" s="89">
        <v>1</v>
      </c>
      <c r="H64" s="94" t="str">
        <f t="shared" si="0"/>
        <v>Error</v>
      </c>
      <c r="I64" s="91"/>
      <c r="J64" s="55" t="str">
        <f>IF('6 Standards'!K100=0,"",'6 Standards'!K100)</f>
        <v>GREATER than Standard 5, outside of quantifiable range</v>
      </c>
    </row>
    <row r="65" spans="1:10" x14ac:dyDescent="0.3">
      <c r="A65" s="176"/>
      <c r="B65" s="55" t="str">
        <f>IF(ISBLANK('6 Standards'!B101),"No Sample Entered",'6 Standards'!B101)</f>
        <v>Buoy_2_T</v>
      </c>
      <c r="C65" s="60" t="str">
        <f>IF(ISBLANK('6 Standards'!C101),"No Date",TEXT('6 Standards'!C101,"mm/dd/yyyy"))</f>
        <v>No Date</v>
      </c>
      <c r="D65" s="60" t="str">
        <f>IF(ISBLANK('6 Standards'!D101),"No type entered",'6 Standards'!D101)</f>
        <v>Total</v>
      </c>
      <c r="E65" s="55">
        <v>2</v>
      </c>
      <c r="F65" s="94" t="str">
        <f>'6 Standards'!H101</f>
        <v>Invalid</v>
      </c>
      <c r="G65" s="55">
        <v>1</v>
      </c>
      <c r="H65" s="95" t="str">
        <f t="shared" si="0"/>
        <v>Error</v>
      </c>
      <c r="I65" s="56" t="str">
        <f t="shared" ref="I65" si="30">IFERROR(AVERAGE(H64:H65),"Error")</f>
        <v>Error</v>
      </c>
      <c r="J65" s="55" t="str">
        <f>IF('6 Standards'!K101=0,"",'6 Standards'!K101)</f>
        <v/>
      </c>
    </row>
    <row r="66" spans="1:10" x14ac:dyDescent="0.3">
      <c r="A66" s="176">
        <v>33</v>
      </c>
      <c r="B66" s="57" t="str">
        <f>IF(ISBLANK('6 Standards'!B102),"No Sample Entered",'6 Standards'!B102)</f>
        <v>Buoy_2_D</v>
      </c>
      <c r="C66" s="58" t="str">
        <f>IF(ISBLANK('6 Standards'!C102),"No Date",TEXT('6 Standards'!C102,"mm/dd/yyyy"))</f>
        <v>No Date</v>
      </c>
      <c r="D66" s="58" t="str">
        <f>IF(ISBLANK('6 Standards'!D102),"No type entered",'6 Standards'!D102)</f>
        <v>Dissolved</v>
      </c>
      <c r="E66" s="57">
        <v>1</v>
      </c>
      <c r="F66" s="93" t="str">
        <f>'6 Standards'!H102</f>
        <v>Invalid</v>
      </c>
      <c r="G66" s="57">
        <v>1</v>
      </c>
      <c r="H66" s="93" t="str">
        <f t="shared" si="0"/>
        <v>Error</v>
      </c>
      <c r="I66" s="59"/>
      <c r="J66" s="55" t="str">
        <f>IF('6 Standards'!K102=0,"",'6 Standards'!K102)</f>
        <v>GREATER than Standard 5, outside of quantifiable range</v>
      </c>
    </row>
    <row r="67" spans="1:10" x14ac:dyDescent="0.3">
      <c r="A67" s="176"/>
      <c r="B67" s="57" t="str">
        <f>IF(ISBLANK('6 Standards'!B103),"No Sample Entered",'6 Standards'!B103)</f>
        <v>Buoy_2_D</v>
      </c>
      <c r="C67" s="58" t="str">
        <f>IF(ISBLANK('6 Standards'!C103),"No Date",TEXT('6 Standards'!C103,"mm/dd/yyyy"))</f>
        <v>No Date</v>
      </c>
      <c r="D67" s="58" t="str">
        <f>IF(ISBLANK('6 Standards'!D103),"No type entered",'6 Standards'!D103)</f>
        <v>Dissolved</v>
      </c>
      <c r="E67" s="57">
        <v>2</v>
      </c>
      <c r="F67" s="93" t="str">
        <f>'6 Standards'!H103</f>
        <v>Invalid</v>
      </c>
      <c r="G67" s="57">
        <v>1</v>
      </c>
      <c r="H67" s="93" t="str">
        <f t="shared" si="0"/>
        <v>Error</v>
      </c>
      <c r="I67" s="59" t="str">
        <f t="shared" ref="I67" si="31">IFERROR(AVERAGE(H66:H67),"Error")</f>
        <v>Error</v>
      </c>
      <c r="J67" s="55" t="str">
        <f>IF('6 Standards'!K103=0,"",'6 Standards'!K103)</f>
        <v/>
      </c>
    </row>
    <row r="68" spans="1:10" x14ac:dyDescent="0.3">
      <c r="A68" s="176">
        <v>34</v>
      </c>
      <c r="B68" s="89" t="str">
        <f>IF(ISBLANK('6 Standards'!B104),"No Sample Entered",'6 Standards'!B104)</f>
        <v>ODNR_1_T</v>
      </c>
      <c r="C68" s="90" t="str">
        <f>IF(ISBLANK('6 Standards'!C104),"No Date",TEXT('6 Standards'!C104,"mm/dd/yyyy"))</f>
        <v>No Date</v>
      </c>
      <c r="D68" s="90" t="str">
        <f>IF(ISBLANK('6 Standards'!D104),"No type entered",'6 Standards'!D104)</f>
        <v>Total</v>
      </c>
      <c r="E68" s="89">
        <v>1</v>
      </c>
      <c r="F68" s="94" t="str">
        <f>'6 Standards'!H104</f>
        <v>Invalid</v>
      </c>
      <c r="G68" s="89">
        <v>1</v>
      </c>
      <c r="H68" s="94" t="str">
        <f t="shared" si="0"/>
        <v>Error</v>
      </c>
      <c r="I68" s="91"/>
      <c r="J68" s="55" t="str">
        <f>IF('6 Standards'!K104=0,"",'6 Standards'!K104)</f>
        <v>GREATER than Standard 5, outside of quantifiable range</v>
      </c>
    </row>
    <row r="69" spans="1:10" x14ac:dyDescent="0.3">
      <c r="A69" s="176"/>
      <c r="B69" s="55" t="str">
        <f>IF(ISBLANK('6 Standards'!B105),"No Sample Entered",'6 Standards'!B105)</f>
        <v>ODNR_1_T</v>
      </c>
      <c r="C69" s="60" t="str">
        <f>IF(ISBLANK('6 Standards'!C105),"No Date",TEXT('6 Standards'!C105,"mm/dd/yyyy"))</f>
        <v>No Date</v>
      </c>
      <c r="D69" s="60" t="str">
        <f>IF(ISBLANK('6 Standards'!D105),"No type entered",'6 Standards'!D105)</f>
        <v>Total</v>
      </c>
      <c r="E69" s="55">
        <v>2</v>
      </c>
      <c r="F69" s="94" t="str">
        <f>'6 Standards'!H105</f>
        <v>Invalid</v>
      </c>
      <c r="G69" s="55">
        <v>1</v>
      </c>
      <c r="H69" s="95" t="str">
        <f t="shared" si="0"/>
        <v>Error</v>
      </c>
      <c r="I69" s="56" t="str">
        <f t="shared" ref="I69" si="32">IFERROR(AVERAGE(H68:H69),"Error")</f>
        <v>Error</v>
      </c>
      <c r="J69" s="55" t="str">
        <f>IF('6 Standards'!K105=0,"",'6 Standards'!K105)</f>
        <v/>
      </c>
    </row>
    <row r="70" spans="1:10" x14ac:dyDescent="0.3">
      <c r="A70" s="176">
        <v>35</v>
      </c>
      <c r="B70" s="57" t="str">
        <f>IF(ISBLANK('6 Standards'!B106),"No Sample Entered",'6 Standards'!B106)</f>
        <v>ODNR_1_D</v>
      </c>
      <c r="C70" s="58" t="str">
        <f>IF(ISBLANK('6 Standards'!C106),"No Date",TEXT('6 Standards'!C106,"mm/dd/yyyy"))</f>
        <v>No Date</v>
      </c>
      <c r="D70" s="58" t="str">
        <f>IF(ISBLANK('6 Standards'!D106),"No type entered",'6 Standards'!D106)</f>
        <v>Dissolved</v>
      </c>
      <c r="E70" s="57">
        <v>1</v>
      </c>
      <c r="F70" s="93" t="str">
        <f>'6 Standards'!H106</f>
        <v>Invalid</v>
      </c>
      <c r="G70" s="57">
        <v>1</v>
      </c>
      <c r="H70" s="93" t="str">
        <f t="shared" ref="H70:H109" si="33">IFERROR(F70*G70,"Error")</f>
        <v>Error</v>
      </c>
      <c r="I70" s="59"/>
      <c r="J70" s="55" t="str">
        <f>IF('6 Standards'!K106=0,"",'6 Standards'!K106)</f>
        <v>GREATER than Standard 5, outside of quantifiable range</v>
      </c>
    </row>
    <row r="71" spans="1:10" x14ac:dyDescent="0.3">
      <c r="A71" s="176"/>
      <c r="B71" s="57" t="str">
        <f>IF(ISBLANK('6 Standards'!B107),"No Sample Entered",'6 Standards'!B107)</f>
        <v>ODNR_1_D</v>
      </c>
      <c r="C71" s="58" t="str">
        <f>IF(ISBLANK('6 Standards'!C107),"No Date",TEXT('6 Standards'!C107,"mm/dd/yyyy"))</f>
        <v>No Date</v>
      </c>
      <c r="D71" s="58" t="str">
        <f>IF(ISBLANK('6 Standards'!D107),"No type entered",'6 Standards'!D107)</f>
        <v>Dissolved</v>
      </c>
      <c r="E71" s="57">
        <v>2</v>
      </c>
      <c r="F71" s="93" t="str">
        <f>'6 Standards'!H107</f>
        <v>Invalid</v>
      </c>
      <c r="G71" s="57">
        <v>1</v>
      </c>
      <c r="H71" s="93" t="str">
        <f t="shared" si="33"/>
        <v>Error</v>
      </c>
      <c r="I71" s="59" t="str">
        <f t="shared" ref="I71" si="34">IFERROR(AVERAGE(H70:H71),"Error")</f>
        <v>Error</v>
      </c>
      <c r="J71" s="55" t="str">
        <f>IF('6 Standards'!K107=0,"",'6 Standards'!K107)</f>
        <v/>
      </c>
    </row>
    <row r="72" spans="1:10" x14ac:dyDescent="0.3">
      <c r="A72" s="176">
        <v>36</v>
      </c>
      <c r="B72" s="89" t="str">
        <f>IF(ISBLANK('6 Standards'!B108),"No Sample Entered",'6 Standards'!B108)</f>
        <v>EC_1163_T</v>
      </c>
      <c r="C72" s="90" t="str">
        <f>IF(ISBLANK('6 Standards'!C108),"No Date",TEXT('6 Standards'!C108,"mm/dd/yyyy"))</f>
        <v>No Date</v>
      </c>
      <c r="D72" s="90" t="str">
        <f>IF(ISBLANK('6 Standards'!D108),"No type entered",'6 Standards'!D108)</f>
        <v>Total</v>
      </c>
      <c r="E72" s="89">
        <v>1</v>
      </c>
      <c r="F72" s="94" t="str">
        <f>'6 Standards'!H108</f>
        <v>Invalid</v>
      </c>
      <c r="G72" s="89">
        <v>1</v>
      </c>
      <c r="H72" s="94" t="str">
        <f t="shared" si="33"/>
        <v>Error</v>
      </c>
      <c r="I72" s="91"/>
      <c r="J72" s="55" t="str">
        <f>IF('6 Standards'!K108=0,"",'6 Standards'!K108)</f>
        <v>GREATER than Standard 5, outside of quantifiable range</v>
      </c>
    </row>
    <row r="73" spans="1:10" x14ac:dyDescent="0.3">
      <c r="A73" s="176"/>
      <c r="B73" s="55" t="str">
        <f>IF(ISBLANK('6 Standards'!B109),"No Sample Entered",'6 Standards'!B109)</f>
        <v>EC_1163_T</v>
      </c>
      <c r="C73" s="60" t="str">
        <f>IF(ISBLANK('6 Standards'!C109),"No Date",TEXT('6 Standards'!C109,"mm/dd/yyyy"))</f>
        <v>No Date</v>
      </c>
      <c r="D73" s="60" t="str">
        <f>IF(ISBLANK('6 Standards'!D109),"No type entered",'6 Standards'!D109)</f>
        <v>Total</v>
      </c>
      <c r="E73" s="55">
        <v>2</v>
      </c>
      <c r="F73" s="94" t="str">
        <f>'6 Standards'!H109</f>
        <v>Invalid</v>
      </c>
      <c r="G73" s="55">
        <v>1</v>
      </c>
      <c r="H73" s="95" t="str">
        <f t="shared" si="33"/>
        <v>Error</v>
      </c>
      <c r="I73" s="56" t="str">
        <f t="shared" ref="I73" si="35">IFERROR(AVERAGE(H72:H73),"Error")</f>
        <v>Error</v>
      </c>
      <c r="J73" s="55" t="str">
        <f>IF('6 Standards'!K109=0,"",'6 Standards'!K109)</f>
        <v/>
      </c>
    </row>
    <row r="74" spans="1:10" x14ac:dyDescent="0.3">
      <c r="A74" s="176">
        <v>37</v>
      </c>
      <c r="B74" s="57" t="str">
        <f>IF(ISBLANK('6 Standards'!B110),"No Sample Entered",'6 Standards'!B110)</f>
        <v>EC_1163_D</v>
      </c>
      <c r="C74" s="58" t="str">
        <f>IF(ISBLANK('6 Standards'!C110),"No Date",TEXT('6 Standards'!C110,"mm/dd/yyyy"))</f>
        <v>No Date</v>
      </c>
      <c r="D74" s="58" t="str">
        <f>IF(ISBLANK('6 Standards'!D110),"No type entered",'6 Standards'!D110)</f>
        <v>Dissolved</v>
      </c>
      <c r="E74" s="57">
        <v>1</v>
      </c>
      <c r="F74" s="93" t="str">
        <f>'6 Standards'!H110</f>
        <v>Invalid</v>
      </c>
      <c r="G74" s="57">
        <v>1</v>
      </c>
      <c r="H74" s="93" t="str">
        <f t="shared" si="33"/>
        <v>Error</v>
      </c>
      <c r="I74" s="59"/>
      <c r="J74" s="55" t="str">
        <f>IF('6 Standards'!K110=0,"",'6 Standards'!K110)</f>
        <v>GREATER than Standard 5, outside of quantifiable range</v>
      </c>
    </row>
    <row r="75" spans="1:10" x14ac:dyDescent="0.3">
      <c r="A75" s="176"/>
      <c r="B75" s="57" t="str">
        <f>IF(ISBLANK('6 Standards'!B111),"No Sample Entered",'6 Standards'!B111)</f>
        <v>EC_1163_D</v>
      </c>
      <c r="C75" s="58" t="str">
        <f>IF(ISBLANK('6 Standards'!C111),"No Date",TEXT('6 Standards'!C111,"mm/dd/yyyy"))</f>
        <v>No Date</v>
      </c>
      <c r="D75" s="58" t="str">
        <f>IF(ISBLANK('6 Standards'!D111),"No type entered",'6 Standards'!D111)</f>
        <v>Dissolved</v>
      </c>
      <c r="E75" s="57">
        <v>2</v>
      </c>
      <c r="F75" s="93" t="str">
        <f>'6 Standards'!H111</f>
        <v>Invalid</v>
      </c>
      <c r="G75" s="57">
        <v>1</v>
      </c>
      <c r="H75" s="93" t="str">
        <f t="shared" si="33"/>
        <v>Error</v>
      </c>
      <c r="I75" s="59" t="str">
        <f t="shared" ref="I75" si="36">IFERROR(AVERAGE(H74:H75),"Error")</f>
        <v>Error</v>
      </c>
      <c r="J75" s="55" t="str">
        <f>IF('6 Standards'!K111=0,"",'6 Standards'!K111)</f>
        <v/>
      </c>
    </row>
    <row r="76" spans="1:10" x14ac:dyDescent="0.3">
      <c r="A76" s="176">
        <v>38</v>
      </c>
      <c r="B76" s="89" t="str">
        <f>IF(ISBLANK('6 Standards'!B112),"No Sample Entered",'6 Standards'!B112)</f>
        <v>Causeway_T</v>
      </c>
      <c r="C76" s="90" t="str">
        <f>IF(ISBLANK('6 Standards'!C112),"No Date",TEXT('6 Standards'!C112,"mm/dd/yyyy"))</f>
        <v>No Date</v>
      </c>
      <c r="D76" s="90" t="str">
        <f>IF(ISBLANK('6 Standards'!D112),"No type entered",'6 Standards'!D112)</f>
        <v>Total</v>
      </c>
      <c r="E76" s="89">
        <v>1</v>
      </c>
      <c r="F76" s="94" t="str">
        <f>'6 Standards'!H112</f>
        <v>Invalid</v>
      </c>
      <c r="G76" s="89">
        <v>1</v>
      </c>
      <c r="H76" s="94" t="str">
        <f t="shared" si="33"/>
        <v>Error</v>
      </c>
      <c r="I76" s="91"/>
      <c r="J76" s="55" t="str">
        <f>IF('6 Standards'!K112=0,"",'6 Standards'!K112)</f>
        <v>GREATER than Standard 5, outside of quantifiable range</v>
      </c>
    </row>
    <row r="77" spans="1:10" x14ac:dyDescent="0.3">
      <c r="A77" s="176"/>
      <c r="B77" s="55" t="str">
        <f>IF(ISBLANK('6 Standards'!B113),"No Sample Entered",'6 Standards'!B113)</f>
        <v>Causeway_T</v>
      </c>
      <c r="C77" s="60" t="str">
        <f>IF(ISBLANK('6 Standards'!C113),"No Date",TEXT('6 Standards'!C113,"mm/dd/yyyy"))</f>
        <v>No Date</v>
      </c>
      <c r="D77" s="60" t="str">
        <f>IF(ISBLANK('6 Standards'!D113),"No type entered",'6 Standards'!D113)</f>
        <v>Total</v>
      </c>
      <c r="E77" s="55">
        <v>2</v>
      </c>
      <c r="F77" s="94" t="str">
        <f>'6 Standards'!H113</f>
        <v>Invalid</v>
      </c>
      <c r="G77" s="55">
        <v>1</v>
      </c>
      <c r="H77" s="95" t="str">
        <f t="shared" si="33"/>
        <v>Error</v>
      </c>
      <c r="I77" s="56" t="str">
        <f t="shared" ref="I77" si="37">IFERROR(AVERAGE(H76:H77),"Error")</f>
        <v>Error</v>
      </c>
      <c r="J77" s="55" t="str">
        <f>IF('6 Standards'!K113=0,"",'6 Standards'!K113)</f>
        <v/>
      </c>
    </row>
    <row r="78" spans="1:10" x14ac:dyDescent="0.3">
      <c r="A78" s="176">
        <v>39</v>
      </c>
      <c r="B78" s="57" t="str">
        <f>IF(ISBLANK('6 Standards'!B114),"No Sample Entered",'6 Standards'!B114)</f>
        <v>Causeway_D</v>
      </c>
      <c r="C78" s="58" t="str">
        <f>IF(ISBLANK('6 Standards'!C114),"No Date",TEXT('6 Standards'!C114,"mm/dd/yyyy"))</f>
        <v>No Date</v>
      </c>
      <c r="D78" s="58" t="str">
        <f>IF(ISBLANK('6 Standards'!D114),"No type entered",'6 Standards'!D114)</f>
        <v>Dissolved</v>
      </c>
      <c r="E78" s="57">
        <v>1</v>
      </c>
      <c r="F78" s="93" t="str">
        <f>'6 Standards'!H114</f>
        <v>Invalid</v>
      </c>
      <c r="G78" s="57">
        <v>1</v>
      </c>
      <c r="H78" s="93" t="str">
        <f t="shared" si="33"/>
        <v>Error</v>
      </c>
      <c r="I78" s="59"/>
      <c r="J78" s="55" t="str">
        <f>IF('6 Standards'!K114=0,"",'6 Standards'!K114)</f>
        <v>GREATER than Standard 5, outside of quantifiable range</v>
      </c>
    </row>
    <row r="79" spans="1:10" x14ac:dyDescent="0.3">
      <c r="A79" s="176"/>
      <c r="B79" s="57" t="str">
        <f>IF(ISBLANK('6 Standards'!B115),"No Sample Entered",'6 Standards'!B115)</f>
        <v>Causeway_D</v>
      </c>
      <c r="C79" s="58" t="str">
        <f>IF(ISBLANK('6 Standards'!C115),"No Date",TEXT('6 Standards'!C115,"mm/dd/yyyy"))</f>
        <v>No Date</v>
      </c>
      <c r="D79" s="58" t="str">
        <f>IF(ISBLANK('6 Standards'!D115),"No type entered",'6 Standards'!D115)</f>
        <v>Dissolved</v>
      </c>
      <c r="E79" s="57">
        <v>2</v>
      </c>
      <c r="F79" s="93" t="str">
        <f>'6 Standards'!H115</f>
        <v>Invalid</v>
      </c>
      <c r="G79" s="57">
        <v>1</v>
      </c>
      <c r="H79" s="93" t="str">
        <f t="shared" si="33"/>
        <v>Error</v>
      </c>
      <c r="I79" s="59" t="str">
        <f t="shared" ref="I79" si="38">IFERROR(AVERAGE(H78:H79),"Error")</f>
        <v>Error</v>
      </c>
      <c r="J79" s="55" t="str">
        <f>IF('6 Standards'!K115=0,"",'6 Standards'!K115)</f>
        <v/>
      </c>
    </row>
    <row r="80" spans="1:10" x14ac:dyDescent="0.3">
      <c r="A80" s="176">
        <v>40</v>
      </c>
      <c r="B80" s="89" t="str">
        <f>IF(ISBLANK('6 Standards'!B116),"No Sample Entered",'6 Standards'!B116)</f>
        <v>Bells_T</v>
      </c>
      <c r="C80" s="90" t="str">
        <f>IF(ISBLANK('6 Standards'!C116),"No Date",TEXT('6 Standards'!C116,"mm/dd/yyyy"))</f>
        <v>No Date</v>
      </c>
      <c r="D80" s="90" t="str">
        <f>IF(ISBLANK('6 Standards'!D116),"No type entered",'6 Standards'!D116)</f>
        <v>Total</v>
      </c>
      <c r="E80" s="89">
        <v>1</v>
      </c>
      <c r="F80" s="94" t="str">
        <f>'6 Standards'!H116</f>
        <v>Invalid</v>
      </c>
      <c r="G80" s="89">
        <v>1</v>
      </c>
      <c r="H80" s="94" t="str">
        <f t="shared" si="33"/>
        <v>Error</v>
      </c>
      <c r="I80" s="91"/>
      <c r="J80" s="55" t="str">
        <f>IF('6 Standards'!K116=0,"",'6 Standards'!K116)</f>
        <v>GREATER than Standard 5, outside of quantifiable range</v>
      </c>
    </row>
    <row r="81" spans="1:10" x14ac:dyDescent="0.3">
      <c r="A81" s="176"/>
      <c r="B81" s="55" t="str">
        <f>IF(ISBLANK('6 Standards'!B117),"No Sample Entered",'6 Standards'!B117)</f>
        <v>Bells_T</v>
      </c>
      <c r="C81" s="60" t="str">
        <f>IF(ISBLANK('6 Standards'!C117),"No Date",TEXT('6 Standards'!C117,"mm/dd/yyyy"))</f>
        <v>No Date</v>
      </c>
      <c r="D81" s="60" t="str">
        <f>IF(ISBLANK('6 Standards'!D117),"No type entered",'6 Standards'!D117)</f>
        <v>Total</v>
      </c>
      <c r="E81" s="55">
        <v>2</v>
      </c>
      <c r="F81" s="94" t="str">
        <f>'6 Standards'!H117</f>
        <v>Invalid</v>
      </c>
      <c r="G81" s="55">
        <v>1</v>
      </c>
      <c r="H81" s="95" t="str">
        <f t="shared" si="33"/>
        <v>Error</v>
      </c>
      <c r="I81" s="56" t="str">
        <f t="shared" ref="I81" si="39">IFERROR(AVERAGE(H80:H81),"Error")</f>
        <v>Error</v>
      </c>
      <c r="J81" s="55" t="str">
        <f>IF('6 Standards'!K117=0,"",'6 Standards'!K117)</f>
        <v/>
      </c>
    </row>
    <row r="82" spans="1:10" x14ac:dyDescent="0.3">
      <c r="A82" s="176">
        <v>41</v>
      </c>
      <c r="B82" s="57" t="str">
        <f>IF(ISBLANK('6 Standards'!B118),"No Sample Entered",'6 Standards'!B118)</f>
        <v>Bells_D</v>
      </c>
      <c r="C82" s="58" t="str">
        <f>IF(ISBLANK('6 Standards'!C118),"No Date",TEXT('6 Standards'!C118,"mm/dd/yyyy"))</f>
        <v>No Date</v>
      </c>
      <c r="D82" s="58" t="str">
        <f>IF(ISBLANK('6 Standards'!D118),"No type entered",'6 Standards'!D118)</f>
        <v>Dissolved</v>
      </c>
      <c r="E82" s="57">
        <v>1</v>
      </c>
      <c r="F82" s="93" t="str">
        <f>'6 Standards'!H118</f>
        <v>Invalid</v>
      </c>
      <c r="G82" s="57">
        <v>1</v>
      </c>
      <c r="H82" s="93" t="str">
        <f t="shared" si="33"/>
        <v>Error</v>
      </c>
      <c r="I82" s="59"/>
      <c r="J82" s="55" t="str">
        <f>IF('6 Standards'!K118=0,"",'6 Standards'!K118)</f>
        <v>GREATER than Standard 5, outside of quantifiable range</v>
      </c>
    </row>
    <row r="83" spans="1:10" x14ac:dyDescent="0.3">
      <c r="A83" s="176"/>
      <c r="B83" s="57" t="str">
        <f>IF(ISBLANK('6 Standards'!B119),"No Sample Entered",'6 Standards'!B119)</f>
        <v>Bells_D</v>
      </c>
      <c r="C83" s="58" t="str">
        <f>IF(ISBLANK('6 Standards'!C119),"No Date",TEXT('6 Standards'!C119,"mm/dd/yyyy"))</f>
        <v>No Date</v>
      </c>
      <c r="D83" s="58" t="str">
        <f>IF(ISBLANK('6 Standards'!D119),"No type entered",'6 Standards'!D119)</f>
        <v>Dissolved</v>
      </c>
      <c r="E83" s="57">
        <v>2</v>
      </c>
      <c r="F83" s="93" t="str">
        <f>'6 Standards'!H119</f>
        <v>Invalid</v>
      </c>
      <c r="G83" s="57">
        <v>1</v>
      </c>
      <c r="H83" s="93" t="str">
        <f t="shared" si="33"/>
        <v>Error</v>
      </c>
      <c r="I83" s="59" t="str">
        <f t="shared" ref="I83" si="40">IFERROR(AVERAGE(H82:H83),"Error")</f>
        <v>Error</v>
      </c>
      <c r="J83" s="55" t="str">
        <f>IF('6 Standards'!K119=0,"",'6 Standards'!K119)</f>
        <v/>
      </c>
    </row>
    <row r="84" spans="1:10" x14ac:dyDescent="0.3">
      <c r="A84" s="176">
        <v>42</v>
      </c>
      <c r="B84" s="89" t="str">
        <f>IF(ISBLANK('6 Standards'!B120),"No Sample Entered",'6 Standards'!B120)</f>
        <v>Control</v>
      </c>
      <c r="C84" s="90" t="str">
        <f>IF(ISBLANK('6 Standards'!C120),"No Date",TEXT('6 Standards'!C120,"mm/dd/yyyy"))</f>
        <v>No Date</v>
      </c>
      <c r="D84" s="90" t="str">
        <f>IF(ISBLANK('6 Standards'!D120),"No type entered",'6 Standards'!D120)</f>
        <v>Blank</v>
      </c>
      <c r="E84" s="89">
        <v>1</v>
      </c>
      <c r="F84" s="94" t="str">
        <f>'6 Standards'!H120</f>
        <v>Invalid</v>
      </c>
      <c r="G84" s="89">
        <v>1</v>
      </c>
      <c r="H84" s="94" t="str">
        <f t="shared" si="33"/>
        <v>Error</v>
      </c>
      <c r="I84" s="91"/>
      <c r="J84" s="55" t="str">
        <f>IF('6 Standards'!K120=0,"",'6 Standards'!K120)</f>
        <v>GREATER than Standard 5, outside of quantifiable range</v>
      </c>
    </row>
    <row r="85" spans="1:10" x14ac:dyDescent="0.3">
      <c r="A85" s="176"/>
      <c r="B85" s="55" t="str">
        <f>IF(ISBLANK('6 Standards'!B121),"No Sample Entered",'6 Standards'!B121)</f>
        <v>Control</v>
      </c>
      <c r="C85" s="60" t="str">
        <f>IF(ISBLANK('6 Standards'!C121),"No Date",TEXT('6 Standards'!C121,"mm/dd/yyyy"))</f>
        <v>No Date</v>
      </c>
      <c r="D85" s="60" t="str">
        <f>IF(ISBLANK('6 Standards'!D121),"No type entered",'6 Standards'!D121)</f>
        <v>Blank</v>
      </c>
      <c r="E85" s="55">
        <v>2</v>
      </c>
      <c r="F85" s="94" t="str">
        <f>'6 Standards'!H121</f>
        <v>Invalid</v>
      </c>
      <c r="G85" s="55">
        <v>1</v>
      </c>
      <c r="H85" s="95" t="str">
        <f t="shared" si="33"/>
        <v>Error</v>
      </c>
      <c r="I85" s="56" t="str">
        <f t="shared" ref="I85" si="41">IFERROR(AVERAGE(H84:H85),"Error")</f>
        <v>Error</v>
      </c>
      <c r="J85" s="55" t="str">
        <f>IF('6 Standards'!K121=0,"",'6 Standards'!K121)</f>
        <v/>
      </c>
    </row>
    <row r="86" spans="1:10" x14ac:dyDescent="0.3">
      <c r="A86" s="176">
        <v>43</v>
      </c>
      <c r="B86" s="57" t="str">
        <f>IF(ISBLANK('6 Standards'!B122),"No Sample Entered",'6 Standards'!B122)</f>
        <v>No Sample Entered</v>
      </c>
      <c r="C86" s="58" t="str">
        <f>IF(ISBLANK('6 Standards'!C122),"No Date",TEXT('6 Standards'!C122,"mm/dd/yyyy"))</f>
        <v>No Date</v>
      </c>
      <c r="D86" s="58" t="str">
        <f>IF(ISBLANK('6 Standards'!D122),"No type entered",'6 Standards'!D122)</f>
        <v>No type entered</v>
      </c>
      <c r="E86" s="57">
        <v>1</v>
      </c>
      <c r="F86" s="93" t="str">
        <f>'6 Standards'!H122</f>
        <v/>
      </c>
      <c r="G86" s="57">
        <v>1</v>
      </c>
      <c r="H86" s="93" t="str">
        <f t="shared" si="33"/>
        <v>Error</v>
      </c>
      <c r="I86" s="59"/>
      <c r="J86" s="55" t="str">
        <f>IF('6 Standards'!K122=0,"",'6 Standards'!K122)</f>
        <v/>
      </c>
    </row>
    <row r="87" spans="1:10" x14ac:dyDescent="0.3">
      <c r="A87" s="176"/>
      <c r="B87" s="57" t="str">
        <f>IF(ISBLANK('6 Standards'!B123),"No Sample Entered",'6 Standards'!B123)</f>
        <v>No Sample Entered</v>
      </c>
      <c r="C87" s="58" t="str">
        <f>IF(ISBLANK('6 Standards'!C123),"No Date",TEXT('6 Standards'!C123,"mm/dd/yyyy"))</f>
        <v>No Date</v>
      </c>
      <c r="D87" s="58" t="str">
        <f>IF(ISBLANK('6 Standards'!D123),"No type entered",'6 Standards'!D123)</f>
        <v>No type entered</v>
      </c>
      <c r="E87" s="57">
        <v>2</v>
      </c>
      <c r="F87" s="93" t="str">
        <f>'6 Standards'!H123</f>
        <v/>
      </c>
      <c r="G87" s="57">
        <v>1</v>
      </c>
      <c r="H87" s="93" t="str">
        <f t="shared" si="33"/>
        <v>Error</v>
      </c>
      <c r="I87" s="59" t="str">
        <f t="shared" ref="I87" si="42">IFERROR(AVERAGE(H86:H87),"Error")</f>
        <v>Error</v>
      </c>
      <c r="J87" s="55" t="str">
        <f>IF('6 Standards'!K123=0,"",'6 Standards'!K123)</f>
        <v/>
      </c>
    </row>
    <row r="88" spans="1:10" x14ac:dyDescent="0.3">
      <c r="A88" s="176">
        <v>44</v>
      </c>
      <c r="B88" s="89" t="str">
        <f>IF(ISBLANK('6 Standards'!B124),"No Sample Entered",'6 Standards'!B124)</f>
        <v>No Sample Entered</v>
      </c>
      <c r="C88" s="90" t="str">
        <f>IF(ISBLANK('6 Standards'!C124),"No Date",TEXT('6 Standards'!C124,"mm/dd/yyyy"))</f>
        <v>No Date</v>
      </c>
      <c r="D88" s="90" t="str">
        <f>IF(ISBLANK('6 Standards'!D124),"No type entered",'6 Standards'!D124)</f>
        <v>No type entered</v>
      </c>
      <c r="E88" s="89">
        <v>1</v>
      </c>
      <c r="F88" s="94" t="str">
        <f>'6 Standards'!H124</f>
        <v/>
      </c>
      <c r="G88" s="89">
        <v>1</v>
      </c>
      <c r="H88" s="94" t="str">
        <f t="shared" si="33"/>
        <v>Error</v>
      </c>
      <c r="I88" s="91"/>
      <c r="J88" s="55" t="str">
        <f>IF('6 Standards'!K124=0,"",'6 Standards'!K124)</f>
        <v/>
      </c>
    </row>
    <row r="89" spans="1:10" x14ac:dyDescent="0.3">
      <c r="A89" s="176"/>
      <c r="B89" s="55" t="str">
        <f>IF(ISBLANK('6 Standards'!B125),"No Sample Entered",'6 Standards'!B125)</f>
        <v>No Sample Entered</v>
      </c>
      <c r="C89" s="60" t="str">
        <f>IF(ISBLANK('6 Standards'!C125),"No Date",TEXT('6 Standards'!C125,"mm/dd/yyyy"))</f>
        <v>No Date</v>
      </c>
      <c r="D89" s="60" t="str">
        <f>IF(ISBLANK('6 Standards'!D125),"No type entered",'6 Standards'!D125)</f>
        <v>No type entered</v>
      </c>
      <c r="E89" s="55">
        <v>2</v>
      </c>
      <c r="F89" s="94" t="str">
        <f>'6 Standards'!H125</f>
        <v/>
      </c>
      <c r="G89" s="55">
        <v>1</v>
      </c>
      <c r="H89" s="95" t="str">
        <f t="shared" si="33"/>
        <v>Error</v>
      </c>
      <c r="I89" s="56" t="str">
        <f t="shared" ref="I89" si="43">IFERROR(AVERAGE(H88:H89),"Error")</f>
        <v>Error</v>
      </c>
      <c r="J89" s="55" t="str">
        <f>IF('6 Standards'!K125=0,"",'6 Standards'!K125)</f>
        <v/>
      </c>
    </row>
    <row r="90" spans="1:10" x14ac:dyDescent="0.3">
      <c r="A90" s="176">
        <v>45</v>
      </c>
      <c r="B90" s="57" t="str">
        <f>IF(ISBLANK('6 Standards'!B126),"No Sample Entered",'6 Standards'!B126)</f>
        <v>No Sample Entered</v>
      </c>
      <c r="C90" s="58" t="str">
        <f>IF(ISBLANK('6 Standards'!C126),"No Date",TEXT('6 Standards'!C126,"mm/dd/yyyy"))</f>
        <v>No Date</v>
      </c>
      <c r="D90" s="58" t="str">
        <f>IF(ISBLANK('6 Standards'!D126),"No type entered",'6 Standards'!D126)</f>
        <v>No type entered</v>
      </c>
      <c r="E90" s="57">
        <v>1</v>
      </c>
      <c r="F90" s="93" t="str">
        <f>'6 Standards'!H126</f>
        <v/>
      </c>
      <c r="G90" s="57">
        <v>1</v>
      </c>
      <c r="H90" s="93" t="str">
        <f t="shared" si="33"/>
        <v>Error</v>
      </c>
      <c r="I90" s="59"/>
      <c r="J90" s="55" t="str">
        <f>IF('6 Standards'!K126=0,"",'6 Standards'!K126)</f>
        <v/>
      </c>
    </row>
    <row r="91" spans="1:10" x14ac:dyDescent="0.3">
      <c r="A91" s="176"/>
      <c r="B91" s="57" t="str">
        <f>IF(ISBLANK('6 Standards'!B127),"No Sample Entered",'6 Standards'!B127)</f>
        <v>No Sample Entered</v>
      </c>
      <c r="C91" s="58" t="str">
        <f>IF(ISBLANK('6 Standards'!C127),"No Date",TEXT('6 Standards'!C127,"mm/dd/yyyy"))</f>
        <v>No Date</v>
      </c>
      <c r="D91" s="58" t="str">
        <f>IF(ISBLANK('6 Standards'!D127),"No type entered",'6 Standards'!D127)</f>
        <v>No type entered</v>
      </c>
      <c r="E91" s="57">
        <v>2</v>
      </c>
      <c r="F91" s="93" t="str">
        <f>'6 Standards'!H127</f>
        <v/>
      </c>
      <c r="G91" s="57">
        <v>1</v>
      </c>
      <c r="H91" s="93" t="str">
        <f t="shared" si="33"/>
        <v>Error</v>
      </c>
      <c r="I91" s="59" t="str">
        <f t="shared" ref="I91" si="44">IFERROR(AVERAGE(H90:H91),"Error")</f>
        <v>Error</v>
      </c>
      <c r="J91" s="55" t="str">
        <f>IF('6 Standards'!K127=0,"",'6 Standards'!K127)</f>
        <v/>
      </c>
    </row>
    <row r="92" spans="1:10" x14ac:dyDescent="0.3">
      <c r="A92" s="176">
        <v>46</v>
      </c>
      <c r="B92" s="89" t="str">
        <f>IF(ISBLANK('6 Standards'!B128),"No Sample Entered",'6 Standards'!B128)</f>
        <v>No Sample Entered</v>
      </c>
      <c r="C92" s="90" t="str">
        <f>IF(ISBLANK('6 Standards'!C128),"No Date",TEXT('6 Standards'!C128,"mm/dd/yyyy"))</f>
        <v>No Date</v>
      </c>
      <c r="D92" s="90" t="str">
        <f>IF(ISBLANK('6 Standards'!D128),"No type entered",'6 Standards'!D128)</f>
        <v>No type entered</v>
      </c>
      <c r="E92" s="89">
        <v>1</v>
      </c>
      <c r="F92" s="94" t="str">
        <f>'6 Standards'!H128</f>
        <v/>
      </c>
      <c r="G92" s="89">
        <v>1</v>
      </c>
      <c r="H92" s="94" t="str">
        <f t="shared" si="33"/>
        <v>Error</v>
      </c>
      <c r="I92" s="91"/>
      <c r="J92" s="55" t="str">
        <f>IF('6 Standards'!K128=0,"",'6 Standards'!K128)</f>
        <v/>
      </c>
    </row>
    <row r="93" spans="1:10" x14ac:dyDescent="0.3">
      <c r="A93" s="176"/>
      <c r="B93" s="55" t="str">
        <f>IF(ISBLANK('6 Standards'!B129),"No Sample Entered",'6 Standards'!B129)</f>
        <v>No Sample Entered</v>
      </c>
      <c r="C93" s="60" t="str">
        <f>IF(ISBLANK('6 Standards'!C129),"No Date",TEXT('6 Standards'!C129,"mm/dd/yyyy"))</f>
        <v>No Date</v>
      </c>
      <c r="D93" s="60" t="str">
        <f>IF(ISBLANK('6 Standards'!D129),"No type entered",'6 Standards'!D129)</f>
        <v>No type entered</v>
      </c>
      <c r="E93" s="55">
        <v>2</v>
      </c>
      <c r="F93" s="94" t="str">
        <f>'6 Standards'!H129</f>
        <v/>
      </c>
      <c r="G93" s="55">
        <v>1</v>
      </c>
      <c r="H93" s="95" t="str">
        <f t="shared" si="33"/>
        <v>Error</v>
      </c>
      <c r="I93" s="56" t="str">
        <f t="shared" ref="I93" si="45">IFERROR(AVERAGE(H92:H93),"Error")</f>
        <v>Error</v>
      </c>
      <c r="J93" s="55" t="str">
        <f>IF('6 Standards'!K129=0,"",'6 Standards'!K129)</f>
        <v/>
      </c>
    </row>
    <row r="94" spans="1:10" x14ac:dyDescent="0.3">
      <c r="A94" s="176">
        <v>47</v>
      </c>
      <c r="B94" s="57" t="str">
        <f>IF(ISBLANK('6 Standards'!B130),"No Sample Entered",'6 Standards'!B130)</f>
        <v>No Sample Entered</v>
      </c>
      <c r="C94" s="58" t="str">
        <f>IF(ISBLANK('6 Standards'!C130),"No Date",TEXT('6 Standards'!C130,"mm/dd/yyyy"))</f>
        <v>No Date</v>
      </c>
      <c r="D94" s="58" t="str">
        <f>IF(ISBLANK('6 Standards'!D130),"No type entered",'6 Standards'!D130)</f>
        <v>No type entered</v>
      </c>
      <c r="E94" s="57">
        <v>1</v>
      </c>
      <c r="F94" s="93" t="str">
        <f>'6 Standards'!H130</f>
        <v/>
      </c>
      <c r="G94" s="57">
        <v>1</v>
      </c>
      <c r="H94" s="93" t="str">
        <f t="shared" si="33"/>
        <v>Error</v>
      </c>
      <c r="I94" s="59"/>
      <c r="J94" s="55" t="str">
        <f>IF('6 Standards'!K130=0,"",'6 Standards'!K130)</f>
        <v/>
      </c>
    </row>
    <row r="95" spans="1:10" x14ac:dyDescent="0.3">
      <c r="A95" s="176"/>
      <c r="B95" s="57" t="str">
        <f>IF(ISBLANK('6 Standards'!B131),"No Sample Entered",'6 Standards'!B131)</f>
        <v>No Sample Entered</v>
      </c>
      <c r="C95" s="58" t="str">
        <f>IF(ISBLANK('6 Standards'!C131),"No Date",TEXT('6 Standards'!C131,"mm/dd/yyyy"))</f>
        <v>No Date</v>
      </c>
      <c r="D95" s="58" t="str">
        <f>IF(ISBLANK('6 Standards'!D131),"No type entered",'6 Standards'!D131)</f>
        <v>No type entered</v>
      </c>
      <c r="E95" s="57">
        <v>2</v>
      </c>
      <c r="F95" s="93" t="str">
        <f>'6 Standards'!H131</f>
        <v/>
      </c>
      <c r="G95" s="57">
        <v>1</v>
      </c>
      <c r="H95" s="93" t="str">
        <f t="shared" si="33"/>
        <v>Error</v>
      </c>
      <c r="I95" s="59" t="str">
        <f t="shared" ref="I95" si="46">IFERROR(AVERAGE(H94:H95),"Error")</f>
        <v>Error</v>
      </c>
      <c r="J95" s="55" t="str">
        <f>IF('6 Standards'!K131=0,"",'6 Standards'!K131)</f>
        <v/>
      </c>
    </row>
    <row r="96" spans="1:10" x14ac:dyDescent="0.3">
      <c r="A96" s="176">
        <v>48</v>
      </c>
      <c r="B96" s="89" t="str">
        <f>IF(ISBLANK('6 Standards'!B132),"No Sample Entered",'6 Standards'!B132)</f>
        <v>No Sample Entered</v>
      </c>
      <c r="C96" s="90" t="str">
        <f>IF(ISBLANK('6 Standards'!C132),"No Date",TEXT('6 Standards'!C132,"mm/dd/yyyy"))</f>
        <v>No Date</v>
      </c>
      <c r="D96" s="90" t="str">
        <f>IF(ISBLANK('6 Standards'!D132),"No type entered",'6 Standards'!D132)</f>
        <v>No type entered</v>
      </c>
      <c r="E96" s="89">
        <v>1</v>
      </c>
      <c r="F96" s="94" t="str">
        <f>'6 Standards'!H132</f>
        <v/>
      </c>
      <c r="G96" s="89">
        <v>1</v>
      </c>
      <c r="H96" s="94" t="str">
        <f t="shared" si="33"/>
        <v>Error</v>
      </c>
      <c r="I96" s="91"/>
      <c r="J96" s="55" t="str">
        <f>IF('6 Standards'!K132=0,"",'6 Standards'!K132)</f>
        <v/>
      </c>
    </row>
    <row r="97" spans="1:10" x14ac:dyDescent="0.3">
      <c r="A97" s="176"/>
      <c r="B97" s="55" t="str">
        <f>IF(ISBLANK('6 Standards'!B133),"No Sample Entered",'6 Standards'!B133)</f>
        <v>No Sample Entered</v>
      </c>
      <c r="C97" s="60" t="str">
        <f>IF(ISBLANK('6 Standards'!C133),"No Date",TEXT('6 Standards'!C133,"mm/dd/yyyy"))</f>
        <v>No Date</v>
      </c>
      <c r="D97" s="60" t="str">
        <f>IF(ISBLANK('6 Standards'!D133),"No type entered",'6 Standards'!D133)</f>
        <v>No type entered</v>
      </c>
      <c r="E97" s="55">
        <v>2</v>
      </c>
      <c r="F97" s="94" t="str">
        <f>'6 Standards'!H133</f>
        <v/>
      </c>
      <c r="G97" s="55">
        <v>1</v>
      </c>
      <c r="H97" s="95" t="str">
        <f t="shared" si="33"/>
        <v>Error</v>
      </c>
      <c r="I97" s="56" t="str">
        <f t="shared" ref="I97" si="47">IFERROR(AVERAGE(H96:H97),"Error")</f>
        <v>Error</v>
      </c>
      <c r="J97" s="55" t="str">
        <f>IF('6 Standards'!K133=0,"",'6 Standards'!K133)</f>
        <v/>
      </c>
    </row>
    <row r="98" spans="1:10" x14ac:dyDescent="0.3">
      <c r="A98" s="176">
        <v>49</v>
      </c>
      <c r="B98" s="57" t="str">
        <f>IF(ISBLANK('6 Standards'!B134),"No Sample Entered",'6 Standards'!B134)</f>
        <v>No Sample Entered</v>
      </c>
      <c r="C98" s="58" t="str">
        <f>IF(ISBLANK('6 Standards'!C134),"No Date",TEXT('6 Standards'!C134,"mm/dd/yyyy"))</f>
        <v>No Date</v>
      </c>
      <c r="D98" s="58" t="str">
        <f>IF(ISBLANK('6 Standards'!D134),"No type entered",'6 Standards'!D134)</f>
        <v>No type entered</v>
      </c>
      <c r="E98" s="57">
        <v>1</v>
      </c>
      <c r="F98" s="93" t="str">
        <f>'6 Standards'!H134</f>
        <v/>
      </c>
      <c r="G98" s="57">
        <v>1</v>
      </c>
      <c r="H98" s="93" t="str">
        <f t="shared" si="33"/>
        <v>Error</v>
      </c>
      <c r="I98" s="59"/>
      <c r="J98" s="55" t="str">
        <f>IF('6 Standards'!K134=0,"",'6 Standards'!K134)</f>
        <v/>
      </c>
    </row>
    <row r="99" spans="1:10" x14ac:dyDescent="0.3">
      <c r="A99" s="176"/>
      <c r="B99" s="57" t="str">
        <f>IF(ISBLANK('6 Standards'!B135),"No Sample Entered",'6 Standards'!B135)</f>
        <v>No Sample Entered</v>
      </c>
      <c r="C99" s="58" t="str">
        <f>IF(ISBLANK('6 Standards'!C135),"No Date",TEXT('6 Standards'!C135,"mm/dd/yyyy"))</f>
        <v>No Date</v>
      </c>
      <c r="D99" s="58" t="str">
        <f>IF(ISBLANK('6 Standards'!D135),"No type entered",'6 Standards'!D135)</f>
        <v>No type entered</v>
      </c>
      <c r="E99" s="57">
        <v>2</v>
      </c>
      <c r="F99" s="93" t="str">
        <f>'6 Standards'!H135</f>
        <v/>
      </c>
      <c r="G99" s="57">
        <v>1</v>
      </c>
      <c r="H99" s="93" t="str">
        <f t="shared" si="33"/>
        <v>Error</v>
      </c>
      <c r="I99" s="59" t="str">
        <f t="shared" ref="I99" si="48">IFERROR(AVERAGE(H98:H99),"Error")</f>
        <v>Error</v>
      </c>
      <c r="J99" s="55" t="str">
        <f>IF('6 Standards'!K135=0,"",'6 Standards'!K135)</f>
        <v/>
      </c>
    </row>
    <row r="100" spans="1:10" x14ac:dyDescent="0.3">
      <c r="A100" s="176">
        <v>50</v>
      </c>
      <c r="B100" s="89" t="str">
        <f>IF(ISBLANK('6 Standards'!B136),"No Sample Entered",'6 Standards'!B136)</f>
        <v>No Sample Entered</v>
      </c>
      <c r="C100" s="90" t="str">
        <f>IF(ISBLANK('6 Standards'!C136),"No Date",TEXT('6 Standards'!C136,"mm/dd/yyyy"))</f>
        <v>No Date</v>
      </c>
      <c r="D100" s="90" t="str">
        <f>IF(ISBLANK('6 Standards'!D136),"No type entered",'6 Standards'!D136)</f>
        <v>No type entered</v>
      </c>
      <c r="E100" s="89">
        <v>1</v>
      </c>
      <c r="F100" s="94" t="str">
        <f>'6 Standards'!H136</f>
        <v/>
      </c>
      <c r="G100" s="89">
        <v>1</v>
      </c>
      <c r="H100" s="94" t="str">
        <f t="shared" si="33"/>
        <v>Error</v>
      </c>
      <c r="I100" s="91"/>
      <c r="J100" s="55" t="str">
        <f>IF('6 Standards'!K136=0,"",'6 Standards'!K136)</f>
        <v/>
      </c>
    </row>
    <row r="101" spans="1:10" x14ac:dyDescent="0.3">
      <c r="A101" s="176"/>
      <c r="B101" s="55" t="str">
        <f>IF(ISBLANK('6 Standards'!B137),"No Sample Entered",'6 Standards'!B137)</f>
        <v>No Sample Entered</v>
      </c>
      <c r="C101" s="60" t="str">
        <f>IF(ISBLANK('6 Standards'!C137),"No Date",TEXT('6 Standards'!C137,"mm/dd/yyyy"))</f>
        <v>No Date</v>
      </c>
      <c r="D101" s="60" t="str">
        <f>IF(ISBLANK('6 Standards'!D137),"No type entered",'6 Standards'!D137)</f>
        <v>No type entered</v>
      </c>
      <c r="E101" s="55">
        <v>2</v>
      </c>
      <c r="F101" s="94" t="str">
        <f>'6 Standards'!H137</f>
        <v/>
      </c>
      <c r="G101" s="55">
        <v>1</v>
      </c>
      <c r="H101" s="95" t="str">
        <f t="shared" si="33"/>
        <v>Error</v>
      </c>
      <c r="I101" s="56" t="str">
        <f t="shared" ref="I101" si="49">IFERROR(AVERAGE(H100:H101),"Error")</f>
        <v>Error</v>
      </c>
      <c r="J101" s="55" t="str">
        <f>IF('6 Standards'!K137=0,"",'6 Standards'!K137)</f>
        <v/>
      </c>
    </row>
    <row r="102" spans="1:10" x14ac:dyDescent="0.3">
      <c r="A102" s="176">
        <v>51</v>
      </c>
      <c r="B102" s="57" t="str">
        <f>IF(ISBLANK('6 Standards'!B138),"No Sample Entered",'6 Standards'!B138)</f>
        <v>No Sample Entered</v>
      </c>
      <c r="C102" s="58" t="str">
        <f>IF(ISBLANK('6 Standards'!C138),"No Date",TEXT('6 Standards'!C138,"mm/dd/yyyy"))</f>
        <v>No Date</v>
      </c>
      <c r="D102" s="58" t="str">
        <f>IF(ISBLANK('6 Standards'!D138),"No type entered",'6 Standards'!D138)</f>
        <v>No type entered</v>
      </c>
      <c r="E102" s="57">
        <v>1</v>
      </c>
      <c r="F102" s="93" t="str">
        <f>'6 Standards'!H138</f>
        <v/>
      </c>
      <c r="G102" s="57">
        <v>1</v>
      </c>
      <c r="H102" s="93" t="str">
        <f t="shared" si="33"/>
        <v>Error</v>
      </c>
      <c r="I102" s="59"/>
      <c r="J102" s="55" t="str">
        <f>IF('6 Standards'!K138=0,"",'6 Standards'!K138)</f>
        <v/>
      </c>
    </row>
    <row r="103" spans="1:10" x14ac:dyDescent="0.3">
      <c r="A103" s="176"/>
      <c r="B103" s="57" t="str">
        <f>IF(ISBLANK('6 Standards'!B139),"No Sample Entered",'6 Standards'!B139)</f>
        <v>No Sample Entered</v>
      </c>
      <c r="C103" s="58" t="str">
        <f>IF(ISBLANK('6 Standards'!C139),"No Date",TEXT('6 Standards'!C139,"mm/dd/yyyy"))</f>
        <v>No Date</v>
      </c>
      <c r="D103" s="58" t="str">
        <f>IF(ISBLANK('6 Standards'!D139),"No type entered",'6 Standards'!D139)</f>
        <v>No type entered</v>
      </c>
      <c r="E103" s="57">
        <v>2</v>
      </c>
      <c r="F103" s="93" t="str">
        <f>'6 Standards'!H139</f>
        <v/>
      </c>
      <c r="G103" s="57">
        <v>1</v>
      </c>
      <c r="H103" s="93" t="str">
        <f t="shared" si="33"/>
        <v>Error</v>
      </c>
      <c r="I103" s="59" t="str">
        <f t="shared" ref="I103" si="50">IFERROR(AVERAGE(H102:H103),"Error")</f>
        <v>Error</v>
      </c>
      <c r="J103" s="55" t="str">
        <f>IF('6 Standards'!K139=0,"",'6 Standards'!K139)</f>
        <v/>
      </c>
    </row>
    <row r="104" spans="1:10" x14ac:dyDescent="0.3">
      <c r="A104" s="176">
        <v>52</v>
      </c>
      <c r="B104" s="89" t="str">
        <f>IF(ISBLANK('6 Standards'!B140),"No Sample Entered",'6 Standards'!B140)</f>
        <v>No Sample Entered</v>
      </c>
      <c r="C104" s="90" t="str">
        <f>IF(ISBLANK('6 Standards'!C140),"No Date",TEXT('6 Standards'!C140,"mm/dd/yyyy"))</f>
        <v>No Date</v>
      </c>
      <c r="D104" s="90" t="str">
        <f>IF(ISBLANK('6 Standards'!D140),"No type entered",'6 Standards'!D140)</f>
        <v>No type entered</v>
      </c>
      <c r="E104" s="89">
        <v>1</v>
      </c>
      <c r="F104" s="94" t="str">
        <f>'6 Standards'!H140</f>
        <v/>
      </c>
      <c r="G104" s="89">
        <v>1</v>
      </c>
      <c r="H104" s="94" t="str">
        <f t="shared" si="33"/>
        <v>Error</v>
      </c>
      <c r="I104" s="91"/>
      <c r="J104" s="55" t="str">
        <f>IF('6 Standards'!K140=0,"",'6 Standards'!K140)</f>
        <v/>
      </c>
    </row>
    <row r="105" spans="1:10" x14ac:dyDescent="0.3">
      <c r="A105" s="176"/>
      <c r="B105" s="55" t="str">
        <f>IF(ISBLANK('6 Standards'!B141),"No Sample Entered",'6 Standards'!B141)</f>
        <v>No Sample Entered</v>
      </c>
      <c r="C105" s="60" t="str">
        <f>IF(ISBLANK('6 Standards'!C141),"No Date",TEXT('6 Standards'!C141,"mm/dd/yyyy"))</f>
        <v>No Date</v>
      </c>
      <c r="D105" s="60" t="str">
        <f>IF(ISBLANK('6 Standards'!D141),"No type entered",'6 Standards'!D141)</f>
        <v>No type entered</v>
      </c>
      <c r="E105" s="55">
        <v>2</v>
      </c>
      <c r="F105" s="94" t="str">
        <f>'6 Standards'!H141</f>
        <v/>
      </c>
      <c r="G105" s="55">
        <v>1</v>
      </c>
      <c r="H105" s="95" t="str">
        <f t="shared" si="33"/>
        <v>Error</v>
      </c>
      <c r="I105" s="56" t="str">
        <f t="shared" ref="I105" si="51">IFERROR(AVERAGE(H104:H105),"Error")</f>
        <v>Error</v>
      </c>
      <c r="J105" s="55" t="str">
        <f>IF('6 Standards'!K141=0,"",'6 Standards'!K141)</f>
        <v/>
      </c>
    </row>
    <row r="106" spans="1:10" x14ac:dyDescent="0.3">
      <c r="A106" s="176">
        <v>53</v>
      </c>
      <c r="B106" s="57" t="str">
        <f>IF(ISBLANK('6 Standards'!B142),"No Sample Entered",'6 Standards'!B142)</f>
        <v>No Sample Entered</v>
      </c>
      <c r="C106" s="58" t="str">
        <f>IF(ISBLANK('6 Standards'!C142),"No Date",TEXT('6 Standards'!C142,"mm/dd/yyyy"))</f>
        <v>No Date</v>
      </c>
      <c r="D106" s="58" t="str">
        <f>IF(ISBLANK('6 Standards'!D142),"No type entered",'6 Standards'!D142)</f>
        <v>No type entered</v>
      </c>
      <c r="E106" s="57">
        <v>1</v>
      </c>
      <c r="F106" s="93" t="str">
        <f>'6 Standards'!H142</f>
        <v/>
      </c>
      <c r="G106" s="57">
        <v>1</v>
      </c>
      <c r="H106" s="93" t="str">
        <f t="shared" si="33"/>
        <v>Error</v>
      </c>
      <c r="I106" s="59"/>
      <c r="J106" s="55" t="str">
        <f>IF('6 Standards'!K142=0,"",'6 Standards'!K142)</f>
        <v/>
      </c>
    </row>
    <row r="107" spans="1:10" x14ac:dyDescent="0.3">
      <c r="A107" s="176"/>
      <c r="B107" s="57" t="str">
        <f>IF(ISBLANK('6 Standards'!B143),"No Sample Entered",'6 Standards'!B143)</f>
        <v>No Sample Entered</v>
      </c>
      <c r="C107" s="58" t="str">
        <f>IF(ISBLANK('6 Standards'!C143),"No Date",TEXT('6 Standards'!C143,"mm/dd/yyyy"))</f>
        <v>No Date</v>
      </c>
      <c r="D107" s="58" t="str">
        <f>IF(ISBLANK('6 Standards'!D143),"No type entered",'6 Standards'!D143)</f>
        <v>No type entered</v>
      </c>
      <c r="E107" s="57">
        <v>2</v>
      </c>
      <c r="F107" s="93" t="str">
        <f>'6 Standards'!H143</f>
        <v/>
      </c>
      <c r="G107" s="57">
        <v>1</v>
      </c>
      <c r="H107" s="93" t="str">
        <f t="shared" si="33"/>
        <v>Error</v>
      </c>
      <c r="I107" s="59" t="str">
        <f t="shared" ref="I107" si="52">IFERROR(AVERAGE(H106:H107),"Error")</f>
        <v>Error</v>
      </c>
      <c r="J107" s="55" t="str">
        <f>IF('6 Standards'!K143=0,"",'6 Standards'!K143)</f>
        <v/>
      </c>
    </row>
    <row r="108" spans="1:10" x14ac:dyDescent="0.3">
      <c r="A108" s="176">
        <v>54</v>
      </c>
      <c r="B108" s="89" t="str">
        <f>IF(ISBLANK('6 Standards'!B144),"No Sample Entered",'6 Standards'!B144)</f>
        <v>No Sample Entered</v>
      </c>
      <c r="C108" s="90" t="str">
        <f>IF(ISBLANK('6 Standards'!C144),"No Date",TEXT('6 Standards'!C144,"mm/dd/yyyy"))</f>
        <v>No Date</v>
      </c>
      <c r="D108" s="90" t="str">
        <f>IF(ISBLANK('6 Standards'!D144),"No type entered",'6 Standards'!D144)</f>
        <v>No type entered</v>
      </c>
      <c r="E108" s="89">
        <v>1</v>
      </c>
      <c r="F108" s="94" t="str">
        <f>'6 Standards'!H144</f>
        <v/>
      </c>
      <c r="G108" s="89">
        <v>1</v>
      </c>
      <c r="H108" s="94" t="str">
        <f t="shared" si="33"/>
        <v>Error</v>
      </c>
      <c r="I108" s="91"/>
      <c r="J108" s="55" t="str">
        <f>IF('6 Standards'!K144=0,"",'6 Standards'!K144)</f>
        <v/>
      </c>
    </row>
    <row r="109" spans="1:10" x14ac:dyDescent="0.3">
      <c r="A109" s="176"/>
      <c r="B109" s="55" t="str">
        <f>IF(ISBLANK('6 Standards'!B145),"No Sample Entered",'6 Standards'!B145)</f>
        <v>No Sample Entered</v>
      </c>
      <c r="C109" s="60" t="str">
        <f>IF(ISBLANK('6 Standards'!C145),"No Date",TEXT('6 Standards'!C145,"mm/dd/yyyy"))</f>
        <v>No Date</v>
      </c>
      <c r="D109" s="60" t="str">
        <f>IF(ISBLANK('6 Standards'!D145),"No type entered",'6 Standards'!D145)</f>
        <v>No type entered</v>
      </c>
      <c r="E109" s="55">
        <v>2</v>
      </c>
      <c r="F109" s="94" t="str">
        <f>'6 Standards'!H145</f>
        <v/>
      </c>
      <c r="G109" s="55">
        <v>1</v>
      </c>
      <c r="H109" s="95" t="str">
        <f t="shared" si="33"/>
        <v>Error</v>
      </c>
      <c r="I109" s="56" t="str">
        <f t="shared" ref="I109" si="53">IFERROR(AVERAGE(H108:H109),"Error")</f>
        <v>Error</v>
      </c>
      <c r="J109" s="55" t="str">
        <f>IF('6 Standards'!K145=0,"",'6 Standards'!K145)</f>
        <v/>
      </c>
    </row>
  </sheetData>
  <mergeCells count="54">
    <mergeCell ref="A108:A109"/>
    <mergeCell ref="A86:A87"/>
    <mergeCell ref="A88:A89"/>
    <mergeCell ref="A90:A91"/>
    <mergeCell ref="A92:A93"/>
    <mergeCell ref="A94:A95"/>
    <mergeCell ref="A96:A97"/>
    <mergeCell ref="A98:A99"/>
    <mergeCell ref="A100:A101"/>
    <mergeCell ref="A102:A103"/>
    <mergeCell ref="A104:A105"/>
    <mergeCell ref="A106:A107"/>
    <mergeCell ref="A84:A85"/>
    <mergeCell ref="A62:A63"/>
    <mergeCell ref="A64:A65"/>
    <mergeCell ref="A66:A67"/>
    <mergeCell ref="A68:A69"/>
    <mergeCell ref="A70:A71"/>
    <mergeCell ref="A72:A73"/>
    <mergeCell ref="A74:A75"/>
    <mergeCell ref="A76:A77"/>
    <mergeCell ref="A78:A79"/>
    <mergeCell ref="A80:A81"/>
    <mergeCell ref="A82:A83"/>
    <mergeCell ref="A60:A61"/>
    <mergeCell ref="A38:A39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58:A59"/>
    <mergeCell ref="A36:A37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12:A13"/>
    <mergeCell ref="A2:A3"/>
    <mergeCell ref="A4:A5"/>
    <mergeCell ref="A6:A7"/>
    <mergeCell ref="A8:A9"/>
    <mergeCell ref="A10:A11"/>
  </mergeCells>
  <conditionalFormatting sqref="B2:B1048576">
    <cfRule type="cellIs" dxfId="3" priority="4" operator="equal">
      <formula>"No Sample Entered"</formula>
    </cfRule>
  </conditionalFormatting>
  <conditionalFormatting sqref="C2:C109">
    <cfRule type="cellIs" dxfId="2" priority="3" operator="equal">
      <formula>"No Date"</formula>
    </cfRule>
  </conditionalFormatting>
  <conditionalFormatting sqref="D2:D109">
    <cfRule type="cellIs" dxfId="1" priority="2" operator="equal">
      <formula>"No type entered"</formula>
    </cfRule>
  </conditionalFormatting>
  <conditionalFormatting sqref="H2:I109">
    <cfRule type="cellIs" dxfId="0" priority="1" operator="equal">
      <formula>"Error"</formula>
    </cfRule>
  </conditionalFormatting>
  <pageMargins left="0.7" right="0.7" top="0.75" bottom="0.75" header="0.3" footer="0.3"/>
  <pageSetup scale="2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4AB2-43E9-4E4D-9528-622CB008EC25}">
  <dimension ref="A1:D41"/>
  <sheetViews>
    <sheetView showGridLines="0" workbookViewId="0">
      <selection activeCell="E8" sqref="E8"/>
    </sheetView>
  </sheetViews>
  <sheetFormatPr defaultRowHeight="15.6" x14ac:dyDescent="0.3"/>
  <cols>
    <col min="1" max="1" width="12.5" bestFit="1" customWidth="1"/>
    <col min="2" max="2" width="12.19921875" style="48" bestFit="1" customWidth="1"/>
    <col min="3" max="3" width="12.59765625" style="54" customWidth="1"/>
    <col min="4" max="4" width="21.69921875" bestFit="1" customWidth="1"/>
  </cols>
  <sheetData>
    <row r="1" spans="1:4" x14ac:dyDescent="0.3">
      <c r="A1" s="92" t="s">
        <v>79</v>
      </c>
      <c r="B1" s="92" t="s">
        <v>71</v>
      </c>
      <c r="C1" s="92" t="s">
        <v>56</v>
      </c>
    </row>
    <row r="2" spans="1:4" x14ac:dyDescent="0.3">
      <c r="A2" s="98" t="s">
        <v>61</v>
      </c>
      <c r="B2" s="99">
        <v>1</v>
      </c>
      <c r="C2" s="100" t="s">
        <v>52</v>
      </c>
      <c r="D2" t="s">
        <v>116</v>
      </c>
    </row>
    <row r="3" spans="1:4" x14ac:dyDescent="0.3">
      <c r="A3" s="98" t="s">
        <v>61</v>
      </c>
      <c r="B3" s="99">
        <v>2</v>
      </c>
      <c r="C3" s="100" t="s">
        <v>52</v>
      </c>
      <c r="D3" t="s">
        <v>116</v>
      </c>
    </row>
    <row r="4" spans="1:4" x14ac:dyDescent="0.3">
      <c r="A4" s="98" t="s">
        <v>61</v>
      </c>
      <c r="B4" s="99">
        <v>1</v>
      </c>
      <c r="C4" s="100" t="s">
        <v>53</v>
      </c>
      <c r="D4" t="s">
        <v>117</v>
      </c>
    </row>
    <row r="5" spans="1:4" x14ac:dyDescent="0.3">
      <c r="A5" s="98" t="s">
        <v>61</v>
      </c>
      <c r="B5" s="99">
        <v>2</v>
      </c>
      <c r="C5" s="100" t="s">
        <v>53</v>
      </c>
      <c r="D5" t="s">
        <v>117</v>
      </c>
    </row>
    <row r="6" spans="1:4" x14ac:dyDescent="0.3">
      <c r="A6" s="98" t="s">
        <v>62</v>
      </c>
      <c r="B6" s="99">
        <v>1</v>
      </c>
      <c r="C6" s="100" t="s">
        <v>52</v>
      </c>
      <c r="D6" t="s">
        <v>118</v>
      </c>
    </row>
    <row r="7" spans="1:4" x14ac:dyDescent="0.3">
      <c r="A7" s="98" t="s">
        <v>62</v>
      </c>
      <c r="B7" s="99">
        <v>2</v>
      </c>
      <c r="C7" s="100" t="s">
        <v>52</v>
      </c>
      <c r="D7" t="s">
        <v>118</v>
      </c>
    </row>
    <row r="8" spans="1:4" x14ac:dyDescent="0.3">
      <c r="A8" s="98" t="s">
        <v>62</v>
      </c>
      <c r="B8" s="99">
        <v>1</v>
      </c>
      <c r="C8" s="100" t="s">
        <v>53</v>
      </c>
      <c r="D8" t="s">
        <v>119</v>
      </c>
    </row>
    <row r="9" spans="1:4" x14ac:dyDescent="0.3">
      <c r="A9" s="98" t="s">
        <v>62</v>
      </c>
      <c r="B9" s="99">
        <v>2</v>
      </c>
      <c r="C9" s="100" t="s">
        <v>53</v>
      </c>
      <c r="D9" t="s">
        <v>119</v>
      </c>
    </row>
    <row r="10" spans="1:4" x14ac:dyDescent="0.3">
      <c r="A10" s="98" t="s">
        <v>63</v>
      </c>
      <c r="B10" s="99">
        <v>1</v>
      </c>
      <c r="C10" s="100" t="s">
        <v>52</v>
      </c>
      <c r="D10" t="s">
        <v>120</v>
      </c>
    </row>
    <row r="11" spans="1:4" x14ac:dyDescent="0.3">
      <c r="A11" s="98" t="s">
        <v>63</v>
      </c>
      <c r="B11" s="99">
        <v>2</v>
      </c>
      <c r="C11" s="100" t="s">
        <v>52</v>
      </c>
      <c r="D11" t="s">
        <v>120</v>
      </c>
    </row>
    <row r="12" spans="1:4" x14ac:dyDescent="0.3">
      <c r="A12" s="98" t="s">
        <v>63</v>
      </c>
      <c r="B12" s="99">
        <v>1</v>
      </c>
      <c r="C12" s="100" t="s">
        <v>53</v>
      </c>
      <c r="D12" t="s">
        <v>121</v>
      </c>
    </row>
    <row r="13" spans="1:4" x14ac:dyDescent="0.3">
      <c r="A13" s="98" t="s">
        <v>63</v>
      </c>
      <c r="B13" s="99">
        <v>2</v>
      </c>
      <c r="C13" s="100" t="s">
        <v>53</v>
      </c>
      <c r="D13" t="s">
        <v>121</v>
      </c>
    </row>
    <row r="14" spans="1:4" x14ac:dyDescent="0.3">
      <c r="A14" s="98" t="s">
        <v>64</v>
      </c>
      <c r="B14" s="99">
        <v>1</v>
      </c>
      <c r="C14" s="100" t="s">
        <v>52</v>
      </c>
      <c r="D14" t="s">
        <v>122</v>
      </c>
    </row>
    <row r="15" spans="1:4" x14ac:dyDescent="0.3">
      <c r="A15" s="98" t="s">
        <v>64</v>
      </c>
      <c r="B15" s="99">
        <v>2</v>
      </c>
      <c r="C15" s="100" t="s">
        <v>52</v>
      </c>
      <c r="D15" t="s">
        <v>122</v>
      </c>
    </row>
    <row r="16" spans="1:4" x14ac:dyDescent="0.3">
      <c r="A16" s="98" t="s">
        <v>64</v>
      </c>
      <c r="B16" s="99">
        <v>1</v>
      </c>
      <c r="C16" s="100" t="s">
        <v>53</v>
      </c>
      <c r="D16" t="s">
        <v>123</v>
      </c>
    </row>
    <row r="17" spans="1:4" x14ac:dyDescent="0.3">
      <c r="A17" s="98" t="s">
        <v>64</v>
      </c>
      <c r="B17" s="99">
        <v>2</v>
      </c>
      <c r="C17" s="100" t="s">
        <v>53</v>
      </c>
      <c r="D17" t="s">
        <v>123</v>
      </c>
    </row>
    <row r="18" spans="1:4" x14ac:dyDescent="0.3">
      <c r="A18" s="98" t="s">
        <v>65</v>
      </c>
      <c r="B18" s="99">
        <v>1</v>
      </c>
      <c r="C18" s="100" t="s">
        <v>52</v>
      </c>
      <c r="D18" t="s">
        <v>124</v>
      </c>
    </row>
    <row r="19" spans="1:4" x14ac:dyDescent="0.3">
      <c r="A19" s="98" t="s">
        <v>65</v>
      </c>
      <c r="B19" s="99">
        <v>2</v>
      </c>
      <c r="C19" s="100" t="s">
        <v>52</v>
      </c>
      <c r="D19" t="s">
        <v>124</v>
      </c>
    </row>
    <row r="20" spans="1:4" x14ac:dyDescent="0.3">
      <c r="A20" s="98" t="s">
        <v>65</v>
      </c>
      <c r="B20" s="99">
        <v>1</v>
      </c>
      <c r="C20" s="100" t="s">
        <v>53</v>
      </c>
      <c r="D20" t="s">
        <v>125</v>
      </c>
    </row>
    <row r="21" spans="1:4" x14ac:dyDescent="0.3">
      <c r="A21" s="98" t="s">
        <v>65</v>
      </c>
      <c r="B21" s="99">
        <v>2</v>
      </c>
      <c r="C21" s="100" t="s">
        <v>53</v>
      </c>
      <c r="D21" t="s">
        <v>125</v>
      </c>
    </row>
    <row r="22" spans="1:4" x14ac:dyDescent="0.3">
      <c r="A22" s="98" t="s">
        <v>66</v>
      </c>
      <c r="B22" s="99">
        <v>1</v>
      </c>
      <c r="C22" s="100" t="s">
        <v>52</v>
      </c>
      <c r="D22" t="s">
        <v>126</v>
      </c>
    </row>
    <row r="23" spans="1:4" x14ac:dyDescent="0.3">
      <c r="A23" s="98" t="s">
        <v>66</v>
      </c>
      <c r="B23" s="99">
        <v>2</v>
      </c>
      <c r="C23" s="100" t="s">
        <v>52</v>
      </c>
      <c r="D23" t="s">
        <v>126</v>
      </c>
    </row>
    <row r="24" spans="1:4" x14ac:dyDescent="0.3">
      <c r="A24" s="98" t="s">
        <v>66</v>
      </c>
      <c r="B24" s="99">
        <v>1</v>
      </c>
      <c r="C24" s="100" t="s">
        <v>53</v>
      </c>
      <c r="D24" t="s">
        <v>127</v>
      </c>
    </row>
    <row r="25" spans="1:4" x14ac:dyDescent="0.3">
      <c r="A25" s="98" t="s">
        <v>66</v>
      </c>
      <c r="B25" s="99">
        <v>2</v>
      </c>
      <c r="C25" s="100" t="s">
        <v>53</v>
      </c>
      <c r="D25" t="s">
        <v>127</v>
      </c>
    </row>
    <row r="26" spans="1:4" x14ac:dyDescent="0.3">
      <c r="A26" s="98" t="s">
        <v>67</v>
      </c>
      <c r="B26" s="99">
        <v>1</v>
      </c>
      <c r="C26" s="100" t="s">
        <v>52</v>
      </c>
      <c r="D26" t="s">
        <v>128</v>
      </c>
    </row>
    <row r="27" spans="1:4" x14ac:dyDescent="0.3">
      <c r="A27" s="98" t="s">
        <v>67</v>
      </c>
      <c r="B27" s="99">
        <v>2</v>
      </c>
      <c r="C27" s="100" t="s">
        <v>52</v>
      </c>
      <c r="D27" t="s">
        <v>128</v>
      </c>
    </row>
    <row r="28" spans="1:4" x14ac:dyDescent="0.3">
      <c r="A28" s="98" t="s">
        <v>67</v>
      </c>
      <c r="B28" s="99">
        <v>1</v>
      </c>
      <c r="C28" s="100" t="s">
        <v>53</v>
      </c>
      <c r="D28" t="s">
        <v>129</v>
      </c>
    </row>
    <row r="29" spans="1:4" x14ac:dyDescent="0.3">
      <c r="A29" s="98" t="s">
        <v>67</v>
      </c>
      <c r="B29" s="99">
        <v>2</v>
      </c>
      <c r="C29" s="100" t="s">
        <v>53</v>
      </c>
      <c r="D29" t="s">
        <v>129</v>
      </c>
    </row>
    <row r="30" spans="1:4" x14ac:dyDescent="0.3">
      <c r="A30" s="98" t="s">
        <v>68</v>
      </c>
      <c r="B30" s="99">
        <v>1</v>
      </c>
      <c r="C30" s="100" t="s">
        <v>52</v>
      </c>
      <c r="D30" t="s">
        <v>130</v>
      </c>
    </row>
    <row r="31" spans="1:4" x14ac:dyDescent="0.3">
      <c r="A31" s="98" t="s">
        <v>68</v>
      </c>
      <c r="B31" s="99">
        <v>2</v>
      </c>
      <c r="C31" s="100" t="s">
        <v>52</v>
      </c>
      <c r="D31" t="s">
        <v>130</v>
      </c>
    </row>
    <row r="32" spans="1:4" x14ac:dyDescent="0.3">
      <c r="A32" s="98" t="s">
        <v>68</v>
      </c>
      <c r="B32" s="99">
        <v>1</v>
      </c>
      <c r="C32" s="100" t="s">
        <v>53</v>
      </c>
      <c r="D32" t="s">
        <v>131</v>
      </c>
    </row>
    <row r="33" spans="1:4" x14ac:dyDescent="0.3">
      <c r="A33" s="98" t="s">
        <v>68</v>
      </c>
      <c r="B33" s="99">
        <v>2</v>
      </c>
      <c r="C33" s="100" t="s">
        <v>53</v>
      </c>
      <c r="D33" t="s">
        <v>131</v>
      </c>
    </row>
    <row r="34" spans="1:4" x14ac:dyDescent="0.3">
      <c r="A34" s="98" t="s">
        <v>69</v>
      </c>
      <c r="B34" s="99">
        <v>1</v>
      </c>
      <c r="C34" s="100" t="s">
        <v>52</v>
      </c>
      <c r="D34" t="s">
        <v>132</v>
      </c>
    </row>
    <row r="35" spans="1:4" x14ac:dyDescent="0.3">
      <c r="A35" s="98" t="s">
        <v>69</v>
      </c>
      <c r="B35" s="99">
        <v>2</v>
      </c>
      <c r="C35" s="100" t="s">
        <v>52</v>
      </c>
      <c r="D35" t="s">
        <v>132</v>
      </c>
    </row>
    <row r="36" spans="1:4" x14ac:dyDescent="0.3">
      <c r="A36" s="98" t="s">
        <v>69</v>
      </c>
      <c r="B36" s="99">
        <v>1</v>
      </c>
      <c r="C36" s="100" t="s">
        <v>53</v>
      </c>
      <c r="D36" t="s">
        <v>133</v>
      </c>
    </row>
    <row r="37" spans="1:4" x14ac:dyDescent="0.3">
      <c r="A37" s="98" t="s">
        <v>69</v>
      </c>
      <c r="B37" s="99">
        <v>2</v>
      </c>
      <c r="C37" s="100" t="s">
        <v>53</v>
      </c>
      <c r="D37" t="s">
        <v>133</v>
      </c>
    </row>
    <row r="38" spans="1:4" x14ac:dyDescent="0.3">
      <c r="A38" s="98" t="s">
        <v>70</v>
      </c>
      <c r="B38" s="99">
        <v>1</v>
      </c>
      <c r="C38" s="100" t="s">
        <v>52</v>
      </c>
      <c r="D38" t="s">
        <v>134</v>
      </c>
    </row>
    <row r="39" spans="1:4" x14ac:dyDescent="0.3">
      <c r="A39" s="98" t="s">
        <v>70</v>
      </c>
      <c r="B39" s="99">
        <v>2</v>
      </c>
      <c r="C39" s="100" t="s">
        <v>52</v>
      </c>
      <c r="D39" t="s">
        <v>134</v>
      </c>
    </row>
    <row r="40" spans="1:4" x14ac:dyDescent="0.3">
      <c r="A40" s="98" t="s">
        <v>70</v>
      </c>
      <c r="B40" s="99">
        <v>1</v>
      </c>
      <c r="C40" s="100" t="s">
        <v>53</v>
      </c>
      <c r="D40" t="s">
        <v>135</v>
      </c>
    </row>
    <row r="41" spans="1:4" x14ac:dyDescent="0.3">
      <c r="A41" s="98" t="s">
        <v>70</v>
      </c>
      <c r="B41" s="99">
        <v>2</v>
      </c>
      <c r="C41" s="100" t="s">
        <v>53</v>
      </c>
      <c r="D41" t="s">
        <v>135</v>
      </c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Absorbances</vt:lpstr>
      <vt:lpstr>6 Standards</vt:lpstr>
      <vt:lpstr>Condensed</vt:lpstr>
      <vt:lpstr>SB Site list</vt:lpstr>
    </vt:vector>
  </TitlesOfParts>
  <Company>Biosense Laboratories 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Eurofins Abraxis</dc:creator>
  <cp:lastModifiedBy>Ryan Wagner</cp:lastModifiedBy>
  <cp:lastPrinted>2023-05-29T18:08:31Z</cp:lastPrinted>
  <dcterms:created xsi:type="dcterms:W3CDTF">2015-06-09T12:12:26Z</dcterms:created>
  <dcterms:modified xsi:type="dcterms:W3CDTF">2023-06-17T01:11:58Z</dcterms:modified>
</cp:coreProperties>
</file>